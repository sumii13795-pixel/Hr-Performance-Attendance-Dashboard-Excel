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46D7E3EE-E5F2-974A-9B43-FC7C6748DDA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Raw Data" sheetId="2" r:id="rId2"/>
    <sheet name="KPI Summary" sheetId="3" r:id="rId3"/>
    <sheet name="Performance Analysis" sheetId="4" r:id="rId4"/>
    <sheet name="Attendance Analysis" sheetId="5" r:id="rId5"/>
    <sheet name="Chart Data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6" l="1"/>
  <c r="I9" i="6"/>
  <c r="H9" i="6"/>
  <c r="G9" i="6"/>
  <c r="D9" i="6"/>
  <c r="C9" i="6"/>
  <c r="B9" i="6"/>
  <c r="J8" i="6"/>
  <c r="I8" i="6"/>
  <c r="H8" i="6"/>
  <c r="G8" i="6"/>
  <c r="D8" i="6"/>
  <c r="C8" i="6"/>
  <c r="B8" i="6"/>
  <c r="M7" i="6"/>
  <c r="J7" i="6"/>
  <c r="I7" i="6"/>
  <c r="H7" i="6"/>
  <c r="G7" i="6"/>
  <c r="D7" i="6"/>
  <c r="C7" i="6"/>
  <c r="B7" i="6"/>
  <c r="M6" i="6"/>
  <c r="J6" i="6"/>
  <c r="I6" i="6"/>
  <c r="H6" i="6"/>
  <c r="G6" i="6"/>
  <c r="D6" i="6"/>
  <c r="C6" i="6"/>
  <c r="B6" i="6"/>
  <c r="P5" i="6"/>
  <c r="M5" i="6"/>
  <c r="J5" i="6"/>
  <c r="I5" i="6"/>
  <c r="H5" i="6"/>
  <c r="G5" i="6"/>
  <c r="D5" i="6"/>
  <c r="C5" i="6"/>
  <c r="B5" i="6"/>
  <c r="P4" i="6"/>
  <c r="M4" i="6"/>
  <c r="J4" i="6"/>
  <c r="I4" i="6"/>
  <c r="H4" i="6"/>
  <c r="G4" i="6"/>
  <c r="D4" i="6"/>
  <c r="C4" i="6"/>
  <c r="B4" i="6"/>
  <c r="B19" i="5"/>
  <c r="G19" i="5"/>
  <c r="E19" i="5"/>
  <c r="D19" i="5"/>
  <c r="C19" i="5"/>
  <c r="B18" i="5"/>
  <c r="G18" i="5"/>
  <c r="E18" i="5"/>
  <c r="D18" i="5"/>
  <c r="C18" i="5"/>
  <c r="B17" i="5"/>
  <c r="G17" i="5"/>
  <c r="E17" i="5"/>
  <c r="D17" i="5"/>
  <c r="C17" i="5"/>
  <c r="B16" i="5"/>
  <c r="G16" i="5"/>
  <c r="E16" i="5"/>
  <c r="D16" i="5"/>
  <c r="C16" i="5"/>
  <c r="B15" i="5"/>
  <c r="G15" i="5"/>
  <c r="E15" i="5"/>
  <c r="D15" i="5"/>
  <c r="C15" i="5"/>
  <c r="B14" i="5"/>
  <c r="G14" i="5"/>
  <c r="E14" i="5"/>
  <c r="D14" i="5"/>
  <c r="C14" i="5"/>
  <c r="B10" i="5"/>
  <c r="F10" i="5"/>
  <c r="G10" i="5"/>
  <c r="I10" i="5"/>
  <c r="C10" i="5"/>
  <c r="H10" i="5"/>
  <c r="E10" i="5"/>
  <c r="D10" i="5"/>
  <c r="B9" i="5"/>
  <c r="F9" i="5"/>
  <c r="G9" i="5"/>
  <c r="I9" i="5"/>
  <c r="C9" i="5"/>
  <c r="H9" i="5"/>
  <c r="E9" i="5"/>
  <c r="D9" i="5"/>
  <c r="B8" i="5"/>
  <c r="F8" i="5"/>
  <c r="G8" i="5"/>
  <c r="I8" i="5"/>
  <c r="C8" i="5"/>
  <c r="H8" i="5"/>
  <c r="E8" i="5"/>
  <c r="D8" i="5"/>
  <c r="B7" i="5"/>
  <c r="F7" i="5"/>
  <c r="G7" i="5"/>
  <c r="I7" i="5"/>
  <c r="C7" i="5"/>
  <c r="H7" i="5"/>
  <c r="E7" i="5"/>
  <c r="D7" i="5"/>
  <c r="B6" i="5"/>
  <c r="F6" i="5"/>
  <c r="G6" i="5"/>
  <c r="I6" i="5"/>
  <c r="C6" i="5"/>
  <c r="H6" i="5"/>
  <c r="E6" i="5"/>
  <c r="D6" i="5"/>
  <c r="B5" i="5"/>
  <c r="F5" i="5"/>
  <c r="G5" i="5"/>
  <c r="I5" i="5"/>
  <c r="C5" i="5"/>
  <c r="H5" i="5"/>
  <c r="E5" i="5"/>
  <c r="D5" i="5"/>
  <c r="E33" i="4"/>
  <c r="F33" i="4"/>
  <c r="K33" i="4"/>
  <c r="J33" i="4"/>
  <c r="G33" i="4"/>
  <c r="H33" i="4"/>
  <c r="I33" i="4"/>
  <c r="E32" i="4"/>
  <c r="F32" i="4"/>
  <c r="K32" i="4"/>
  <c r="J32" i="4"/>
  <c r="G32" i="4"/>
  <c r="H32" i="4"/>
  <c r="I32" i="4"/>
  <c r="E31" i="4"/>
  <c r="F31" i="4"/>
  <c r="K31" i="4"/>
  <c r="J31" i="4"/>
  <c r="G31" i="4"/>
  <c r="H31" i="4"/>
  <c r="I31" i="4"/>
  <c r="E30" i="4"/>
  <c r="F30" i="4"/>
  <c r="K30" i="4"/>
  <c r="J30" i="4"/>
  <c r="G30" i="4"/>
  <c r="H30" i="4"/>
  <c r="I30" i="4"/>
  <c r="E29" i="4"/>
  <c r="F29" i="4"/>
  <c r="K29" i="4"/>
  <c r="J29" i="4"/>
  <c r="G29" i="4"/>
  <c r="H29" i="4"/>
  <c r="I29" i="4"/>
  <c r="E28" i="4"/>
  <c r="F28" i="4"/>
  <c r="K28" i="4"/>
  <c r="J28" i="4"/>
  <c r="G28" i="4"/>
  <c r="H28" i="4"/>
  <c r="I28" i="4"/>
  <c r="E27" i="4"/>
  <c r="F27" i="4"/>
  <c r="K27" i="4"/>
  <c r="J27" i="4"/>
  <c r="G27" i="4"/>
  <c r="H27" i="4"/>
  <c r="I27" i="4"/>
  <c r="E26" i="4"/>
  <c r="F26" i="4"/>
  <c r="K26" i="4"/>
  <c r="J26" i="4"/>
  <c r="G26" i="4"/>
  <c r="H26" i="4"/>
  <c r="I26" i="4"/>
  <c r="E25" i="4"/>
  <c r="F25" i="4"/>
  <c r="K25" i="4"/>
  <c r="J25" i="4"/>
  <c r="G25" i="4"/>
  <c r="H25" i="4"/>
  <c r="I25" i="4"/>
  <c r="E24" i="4"/>
  <c r="F24" i="4"/>
  <c r="K24" i="4"/>
  <c r="J24" i="4"/>
  <c r="G24" i="4"/>
  <c r="H24" i="4"/>
  <c r="I24" i="4"/>
  <c r="E23" i="4"/>
  <c r="F23" i="4"/>
  <c r="K23" i="4"/>
  <c r="J23" i="4"/>
  <c r="G23" i="4"/>
  <c r="H23" i="4"/>
  <c r="I23" i="4"/>
  <c r="E22" i="4"/>
  <c r="F22" i="4"/>
  <c r="K22" i="4"/>
  <c r="J22" i="4"/>
  <c r="G22" i="4"/>
  <c r="H22" i="4"/>
  <c r="I22" i="4"/>
  <c r="E21" i="4"/>
  <c r="F21" i="4"/>
  <c r="K21" i="4"/>
  <c r="J21" i="4"/>
  <c r="G21" i="4"/>
  <c r="H21" i="4"/>
  <c r="I21" i="4"/>
  <c r="E20" i="4"/>
  <c r="F20" i="4"/>
  <c r="K20" i="4"/>
  <c r="J20" i="4"/>
  <c r="G20" i="4"/>
  <c r="H20" i="4"/>
  <c r="I20" i="4"/>
  <c r="E19" i="4"/>
  <c r="F19" i="4"/>
  <c r="K19" i="4"/>
  <c r="J19" i="4"/>
  <c r="G19" i="4"/>
  <c r="H19" i="4"/>
  <c r="I19" i="4"/>
  <c r="E18" i="4"/>
  <c r="F18" i="4"/>
  <c r="K18" i="4"/>
  <c r="J18" i="4"/>
  <c r="G18" i="4"/>
  <c r="H18" i="4"/>
  <c r="I18" i="4"/>
  <c r="E17" i="4"/>
  <c r="F17" i="4"/>
  <c r="K17" i="4"/>
  <c r="J17" i="4"/>
  <c r="G17" i="4"/>
  <c r="H17" i="4"/>
  <c r="I17" i="4"/>
  <c r="E16" i="4"/>
  <c r="F16" i="4"/>
  <c r="K16" i="4"/>
  <c r="J16" i="4"/>
  <c r="G16" i="4"/>
  <c r="H16" i="4"/>
  <c r="I16" i="4"/>
  <c r="E15" i="4"/>
  <c r="F15" i="4"/>
  <c r="K15" i="4"/>
  <c r="J15" i="4"/>
  <c r="G15" i="4"/>
  <c r="H15" i="4"/>
  <c r="I15" i="4"/>
  <c r="E14" i="4"/>
  <c r="F14" i="4"/>
  <c r="K14" i="4"/>
  <c r="J14" i="4"/>
  <c r="G14" i="4"/>
  <c r="H14" i="4"/>
  <c r="I14" i="4"/>
  <c r="E10" i="4"/>
  <c r="F10" i="4"/>
  <c r="G10" i="4"/>
  <c r="D10" i="4"/>
  <c r="C10" i="4"/>
  <c r="E9" i="4"/>
  <c r="F9" i="4"/>
  <c r="G9" i="4"/>
  <c r="D9" i="4"/>
  <c r="C9" i="4"/>
  <c r="E8" i="4"/>
  <c r="F8" i="4"/>
  <c r="G8" i="4"/>
  <c r="D8" i="4"/>
  <c r="C8" i="4"/>
  <c r="E7" i="4"/>
  <c r="F7" i="4"/>
  <c r="G7" i="4"/>
  <c r="D7" i="4"/>
  <c r="C7" i="4"/>
  <c r="E6" i="4"/>
  <c r="F6" i="4"/>
  <c r="G6" i="4"/>
  <c r="D6" i="4"/>
  <c r="C6" i="4"/>
  <c r="E5" i="4"/>
  <c r="F5" i="4"/>
  <c r="G5" i="4"/>
  <c r="D5" i="4"/>
  <c r="C5" i="4"/>
  <c r="J17" i="3"/>
  <c r="I17" i="3"/>
  <c r="H17" i="3"/>
  <c r="E17" i="3"/>
  <c r="F17" i="3"/>
  <c r="G17" i="3"/>
  <c r="D17" i="3"/>
  <c r="C17" i="3"/>
  <c r="B17" i="3"/>
  <c r="J16" i="3"/>
  <c r="I16" i="3"/>
  <c r="H16" i="3"/>
  <c r="E16" i="3"/>
  <c r="F16" i="3"/>
  <c r="G16" i="3"/>
  <c r="D16" i="3"/>
  <c r="C16" i="3"/>
  <c r="B16" i="3"/>
  <c r="J15" i="3"/>
  <c r="I15" i="3"/>
  <c r="H15" i="3"/>
  <c r="E15" i="3"/>
  <c r="F15" i="3"/>
  <c r="G15" i="3"/>
  <c r="D15" i="3"/>
  <c r="C15" i="3"/>
  <c r="B15" i="3"/>
  <c r="J14" i="3"/>
  <c r="I14" i="3"/>
  <c r="H14" i="3"/>
  <c r="E14" i="3"/>
  <c r="F14" i="3"/>
  <c r="G14" i="3"/>
  <c r="D14" i="3"/>
  <c r="C14" i="3"/>
  <c r="B14" i="3"/>
  <c r="J13" i="3"/>
  <c r="I13" i="3"/>
  <c r="H13" i="3"/>
  <c r="E13" i="3"/>
  <c r="F13" i="3"/>
  <c r="G13" i="3"/>
  <c r="D13" i="3"/>
  <c r="C13" i="3"/>
  <c r="B13" i="3"/>
  <c r="J12" i="3"/>
  <c r="I12" i="3"/>
  <c r="H12" i="3"/>
  <c r="E12" i="3"/>
  <c r="F12" i="3"/>
  <c r="G12" i="3"/>
  <c r="D12" i="3"/>
  <c r="C12" i="3"/>
  <c r="B12" i="3"/>
  <c r="I8" i="3"/>
  <c r="G8" i="3"/>
  <c r="E8" i="3"/>
  <c r="C8" i="3"/>
  <c r="A8" i="3"/>
  <c r="I5" i="3"/>
  <c r="G5" i="3"/>
  <c r="E5" i="3"/>
  <c r="C5" i="3"/>
  <c r="A5" i="3"/>
  <c r="B36" i="1"/>
  <c r="B33" i="1"/>
  <c r="C12" i="1"/>
  <c r="C13" i="1"/>
  <c r="C14" i="1"/>
  <c r="C15" i="1"/>
  <c r="C16" i="1"/>
  <c r="C17" i="1"/>
  <c r="K12" i="1"/>
  <c r="K13" i="1"/>
  <c r="K14" i="1"/>
  <c r="K15" i="1"/>
  <c r="K16" i="1"/>
  <c r="K17" i="1"/>
  <c r="B32" i="1"/>
  <c r="B31" i="1"/>
  <c r="E17" i="1"/>
  <c r="F17" i="1"/>
  <c r="M17" i="1"/>
  <c r="L17" i="1"/>
  <c r="J17" i="1"/>
  <c r="D17" i="1"/>
  <c r="B17" i="1"/>
  <c r="E16" i="1"/>
  <c r="F16" i="1"/>
  <c r="M16" i="1"/>
  <c r="L16" i="1"/>
  <c r="J16" i="1"/>
  <c r="D16" i="1"/>
  <c r="B16" i="1"/>
  <c r="P15" i="1"/>
  <c r="Q15" i="1"/>
  <c r="E15" i="1"/>
  <c r="F15" i="1"/>
  <c r="M15" i="1"/>
  <c r="L15" i="1"/>
  <c r="J15" i="1"/>
  <c r="D15" i="1"/>
  <c r="B15" i="1"/>
  <c r="P14" i="1"/>
  <c r="Q14" i="1"/>
  <c r="E14" i="1"/>
  <c r="F14" i="1"/>
  <c r="M14" i="1"/>
  <c r="L14" i="1"/>
  <c r="J14" i="1"/>
  <c r="D14" i="1"/>
  <c r="B14" i="1"/>
  <c r="P13" i="1"/>
  <c r="Q13" i="1"/>
  <c r="E13" i="1"/>
  <c r="F13" i="1"/>
  <c r="M13" i="1"/>
  <c r="L13" i="1"/>
  <c r="J13" i="1"/>
  <c r="D13" i="1"/>
  <c r="B13" i="1"/>
  <c r="P12" i="1"/>
  <c r="Q12" i="1"/>
  <c r="E12" i="1"/>
  <c r="F12" i="1"/>
  <c r="M12" i="1"/>
  <c r="L12" i="1"/>
  <c r="J12" i="1"/>
  <c r="D12" i="1"/>
  <c r="B12" i="1"/>
  <c r="P8" i="1"/>
  <c r="M8" i="1"/>
  <c r="J8" i="1"/>
  <c r="G8" i="1"/>
  <c r="D8" i="1"/>
  <c r="A8" i="1"/>
  <c r="P5" i="1"/>
  <c r="M5" i="1"/>
  <c r="J5" i="1"/>
  <c r="G5" i="1"/>
  <c r="D5" i="1"/>
  <c r="A5" i="1"/>
</calcChain>
</file>

<file path=xl/sharedStrings.xml><?xml version="1.0" encoding="utf-8"?>
<sst xmlns="http://schemas.openxmlformats.org/spreadsheetml/2006/main" count="2007" uniqueCount="282">
  <si>
    <t>👥  HR EMPLOYEE PERFORMANCE &amp; ATTENDANCE DASHBOARD</t>
  </si>
  <si>
    <t>Jan – Jun 2025  •  20 Employees  •  6 Departments  •  Mumbai | Bangalore | Delhi | Chennai | Hyderabad | Pune | Kolkata | Kochi | Jaipur</t>
  </si>
  <si>
    <t>👥  TOTAL EMPLOYEES</t>
  </si>
  <si>
    <t>📈  AVG PERFORMANCE</t>
  </si>
  <si>
    <t>📅  AVG ATTENDANCE</t>
  </si>
  <si>
    <t>✅  TASKS COMPLETED</t>
  </si>
  <si>
    <t>🏆  HIGH PERFORMERS</t>
  </si>
  <si>
    <t>⚠️  RISK EMPLOYEES</t>
  </si>
  <si>
    <t>🎁  BONUS ELIGIBLE</t>
  </si>
  <si>
    <t>⚠️  LOW PERFORMERS</t>
  </si>
  <si>
    <t>⏰  TOTAL OT HOURS</t>
  </si>
  <si>
    <t>📋  TOTAL TARGETS</t>
  </si>
  <si>
    <t>📊  AVG KRA SCORE</t>
  </si>
  <si>
    <t>💰  PAYROLL (₹)</t>
  </si>
  <si>
    <t>📊  DEPT PERFORMANCE OVERVIEW</t>
  </si>
  <si>
    <t>📅  MONTHLY PERFORMANCE TREND</t>
  </si>
  <si>
    <t>⚠️  RISK SUMMARY</t>
  </si>
  <si>
    <t>Department</t>
  </si>
  <si>
    <t>Avg Perf</t>
  </si>
  <si>
    <t>Avg Att%</t>
  </si>
  <si>
    <t>Tasks</t>
  </si>
  <si>
    <t>Target</t>
  </si>
  <si>
    <t>Risk Count</t>
  </si>
  <si>
    <t>Month</t>
  </si>
  <si>
    <t>WD</t>
  </si>
  <si>
    <t>Tasks Done</t>
  </si>
  <si>
    <t>Achievement%</t>
  </si>
  <si>
    <t>Risk Category</t>
  </si>
  <si>
    <t>Count</t>
  </si>
  <si>
    <t>% Share</t>
  </si>
  <si>
    <t>Action</t>
  </si>
  <si>
    <t>💻 Technology</t>
  </si>
  <si>
    <t>Jan</t>
  </si>
  <si>
    <t>✅ OK</t>
  </si>
  <si>
    <t>Review Done</t>
  </si>
  <si>
    <t>👤 HR</t>
  </si>
  <si>
    <t>Feb</t>
  </si>
  <si>
    <t>⏰ Att. Risk</t>
  </si>
  <si>
    <t>HR Follow-up</t>
  </si>
  <si>
    <t>💰 Finance</t>
  </si>
  <si>
    <t>Mar</t>
  </si>
  <si>
    <t>📉 Perf. Risk</t>
  </si>
  <si>
    <t>Coaching Plan</t>
  </si>
  <si>
    <t>📈 Sales</t>
  </si>
  <si>
    <t>Apr</t>
  </si>
  <si>
    <t>🔴 High Risk</t>
  </si>
  <si>
    <t>Urgent Action</t>
  </si>
  <si>
    <t>⚙️ Operations</t>
  </si>
  <si>
    <t>May</t>
  </si>
  <si>
    <t>📣 Marketing</t>
  </si>
  <si>
    <t>Jun</t>
  </si>
  <si>
    <t>🧠  KEY BUSINESS INSIGHTS &amp; HR RECOMMENDATIONS</t>
  </si>
  <si>
    <t>🏆  Top Performer Dept</t>
  </si>
  <si>
    <t>Technology consistently leads in Performance Score (avg &gt;7.5). Recognize and replicate best practices.</t>
  </si>
  <si>
    <t>📉  Attendance Alert</t>
  </si>
  <si>
    <t>Sales team shows highest absenteeism rate (&gt;15%). HR should investigate workload and travel patterns.</t>
  </si>
  <si>
    <t>💡  Productivity Gap</t>
  </si>
  <si>
    <t>Achievement % drops in March across all departments. Investigate target-setting fairness for that month.</t>
  </si>
  <si>
    <t>💰  Bonus Impact</t>
  </si>
  <si>
    <t>68% of high-performing employees are bonus-eligible. Review policy to improve retention of top talent.</t>
  </si>
  <si>
    <t>⚠️  Risk Employees</t>
  </si>
  <si>
    <t>Employees with both low attendance and low performance need immediate HR intervention and PIP plan.</t>
  </si>
  <si>
    <t>📈  WFH Observation</t>
  </si>
  <si>
    <t>WFH days correlate with maintained performance levels — consider formalizing flexible work policy.</t>
  </si>
  <si>
    <t>📚  EXCEL FORMULA GUIDE — Key Formulas Used in This Dashboard</t>
  </si>
  <si>
    <t>Formula Name</t>
  </si>
  <si>
    <t>Excel Syntax</t>
  </si>
  <si>
    <t>What It Does</t>
  </si>
  <si>
    <t>SUMIF</t>
  </si>
  <si>
    <t>Sum tasks for Technology dept only</t>
  </si>
  <si>
    <t>SUMIFS</t>
  </si>
  <si>
    <t>Sum tasks for dept AND month combo</t>
  </si>
  <si>
    <t>COUNTIFS</t>
  </si>
  <si>
    <t>Count high performers in Jan</t>
  </si>
  <si>
    <t>AVERAGEIF</t>
  </si>
  <si>
    <t>AVERAGEIF(C3:C122, "HR", Z3:Z122)</t>
  </si>
  <si>
    <t>Average performance for HR dept</t>
  </si>
  <si>
    <t>IFERROR</t>
  </si>
  <si>
    <t>IFERROR(Tasks_Done / Target, 0)</t>
  </si>
  <si>
    <t>Prevent division by zero errors in achievement percentage calculation</t>
  </si>
  <si>
    <t>IF</t>
  </si>
  <si>
    <t>Grade employees by score</t>
  </si>
  <si>
    <t>VLOOKUP</t>
  </si>
  <si>
    <t>VLOOKUP(A3, Employee_Table, 4, 0)</t>
  </si>
  <si>
    <t>Pull Job Role by Employee ID</t>
  </si>
  <si>
    <t>INDEX-MATCH</t>
  </si>
  <si>
    <t>INDEX(D3:D122, MATCH("EMP001", A3:A122, 0))</t>
  </si>
  <si>
    <t>Flexible lookup — better than VLOOKUP</t>
  </si>
  <si>
    <t>Att%</t>
  </si>
  <si>
    <t>Present_Days / Working_Days</t>
  </si>
  <si>
    <t>Attendance percentage formula</t>
  </si>
  <si>
    <t>Tasks_Completed / Target_Tasks</t>
  </si>
  <si>
    <t>Task achievement percentage formula</t>
  </si>
  <si>
    <t>👥  HR Employee Performance &amp; Attendance — Raw Data  |  Jan–Jun 2025</t>
  </si>
  <si>
    <t>Employee ID</t>
  </si>
  <si>
    <t>Employee Name</t>
  </si>
  <si>
    <t>Job Role</t>
  </si>
  <si>
    <t>Location</t>
  </si>
  <si>
    <t>Gender</t>
  </si>
  <si>
    <t>Date of Joining</t>
  </si>
  <si>
    <t>Manager</t>
  </si>
  <si>
    <t>Employment Type</t>
  </si>
  <si>
    <t>Grade</t>
  </si>
  <si>
    <t>Working Days</t>
  </si>
  <si>
    <t>Present Days</t>
  </si>
  <si>
    <t>Absent Days</t>
  </si>
  <si>
    <t>Leave Days</t>
  </si>
  <si>
    <t>WFH Days</t>
  </si>
  <si>
    <t>Attendance %</t>
  </si>
  <si>
    <t>Working Hours</t>
  </si>
  <si>
    <t>Overtime Hours</t>
  </si>
  <si>
    <t>Target Tasks</t>
  </si>
  <si>
    <t>Tasks Completed</t>
  </si>
  <si>
    <t>Achievement %</t>
  </si>
  <si>
    <t>KRA Score (Avg)</t>
  </si>
  <si>
    <t>Manager Score (0-5)</t>
  </si>
  <si>
    <t>Peer Score (0-5)</t>
  </si>
  <si>
    <t>Performance Score (0-10)</t>
  </si>
  <si>
    <t>Manager Rating (0-10)</t>
  </si>
  <si>
    <t>Base Salary</t>
  </si>
  <si>
    <t>Bonus Eligibility</t>
  </si>
  <si>
    <t>Risk Tag</t>
  </si>
  <si>
    <t>Remarks</t>
  </si>
  <si>
    <t>EMP001</t>
  </si>
  <si>
    <t>Aarav Sharma</t>
  </si>
  <si>
    <t>Technology</t>
  </si>
  <si>
    <t>Software Engineer</t>
  </si>
  <si>
    <t>Mumbai</t>
  </si>
  <si>
    <t>Male</t>
  </si>
  <si>
    <t>2021-03-15</t>
  </si>
  <si>
    <t>Rajesh Kumar</t>
  </si>
  <si>
    <t>Full-Time</t>
  </si>
  <si>
    <t>L2</t>
  </si>
  <si>
    <t>Yes</t>
  </si>
  <si>
    <t>OK</t>
  </si>
  <si>
    <t>Good</t>
  </si>
  <si>
    <t>No</t>
  </si>
  <si>
    <t>Attendance Risk</t>
  </si>
  <si>
    <t>EMP002</t>
  </si>
  <si>
    <t>Priya Patel</t>
  </si>
  <si>
    <t>Senior Developer</t>
  </si>
  <si>
    <t>Bangalore</t>
  </si>
  <si>
    <t>Female</t>
  </si>
  <si>
    <t>2019-07-22</t>
  </si>
  <si>
    <t>L3</t>
  </si>
  <si>
    <t>Excellent</t>
  </si>
  <si>
    <t>EMP003</t>
  </si>
  <si>
    <t>Rohan Mehta</t>
  </si>
  <si>
    <t>HR</t>
  </si>
  <si>
    <t>HR Executive</t>
  </si>
  <si>
    <t>Delhi</t>
  </si>
  <si>
    <t>2022-01-10</t>
  </si>
  <si>
    <t>Sunita Rao</t>
  </si>
  <si>
    <t>L1</t>
  </si>
  <si>
    <t>Average</t>
  </si>
  <si>
    <t>EMP004</t>
  </si>
  <si>
    <t>Sneha Joshi</t>
  </si>
  <si>
    <t>Finance</t>
  </si>
  <si>
    <t>Financial Analyst</t>
  </si>
  <si>
    <t>2020-05-18</t>
  </si>
  <si>
    <t>Vikram Singh</t>
  </si>
  <si>
    <t>EMP005</t>
  </si>
  <si>
    <t>Arjun Nair</t>
  </si>
  <si>
    <t>Sales</t>
  </si>
  <si>
    <t>Sales Manager</t>
  </si>
  <si>
    <t>Chennai</t>
  </si>
  <si>
    <t>2018-09-05</t>
  </si>
  <si>
    <t>Pradeep Iyer</t>
  </si>
  <si>
    <t>L4</t>
  </si>
  <si>
    <t>EMP006</t>
  </si>
  <si>
    <t>Divya Reddy</t>
  </si>
  <si>
    <t>Operations</t>
  </si>
  <si>
    <t>Operations Executive</t>
  </si>
  <si>
    <t>Hyderabad</t>
  </si>
  <si>
    <t>2021-11-30</t>
  </si>
  <si>
    <t>Meena Krishnan</t>
  </si>
  <si>
    <t>EMP007</t>
  </si>
  <si>
    <t>Karan Verma</t>
  </si>
  <si>
    <t>DevOps Engineer</t>
  </si>
  <si>
    <t>2020-08-14</t>
  </si>
  <si>
    <t>EMP008</t>
  </si>
  <si>
    <t>Ananya Singh</t>
  </si>
  <si>
    <t>Marketing</t>
  </si>
  <si>
    <t>Marketing Analyst</t>
  </si>
  <si>
    <t>2022-03-22</t>
  </si>
  <si>
    <t>Neha Gupta</t>
  </si>
  <si>
    <t>EMP009</t>
  </si>
  <si>
    <t>Vikram Gupta</t>
  </si>
  <si>
    <t>Senior Analyst</t>
  </si>
  <si>
    <t>2017-12-01</t>
  </si>
  <si>
    <t>EMP010</t>
  </si>
  <si>
    <t>Meera Iyer</t>
  </si>
  <si>
    <t>Business Development</t>
  </si>
  <si>
    <t>2021-06-08</t>
  </si>
  <si>
    <t>EMP011</t>
  </si>
  <si>
    <t>Rahul Desai</t>
  </si>
  <si>
    <t>QA Engineer</t>
  </si>
  <si>
    <t>Pune</t>
  </si>
  <si>
    <t>2023-02-14</t>
  </si>
  <si>
    <t>EMP012</t>
  </si>
  <si>
    <t>Pooja Mishra</t>
  </si>
  <si>
    <t>HR Manager</t>
  </si>
  <si>
    <t>2016-04-20</t>
  </si>
  <si>
    <t>L5</t>
  </si>
  <si>
    <t>High Risk</t>
  </si>
  <si>
    <t>EMP013</t>
  </si>
  <si>
    <t>Suresh Pillai</t>
  </si>
  <si>
    <t>Operations Manager</t>
  </si>
  <si>
    <t>2015-08-10</t>
  </si>
  <si>
    <t>EMP014</t>
  </si>
  <si>
    <t>Kavya Nambiar</t>
  </si>
  <si>
    <t>Content Strategist</t>
  </si>
  <si>
    <t>2022-09-15</t>
  </si>
  <si>
    <t>EMP015</t>
  </si>
  <si>
    <t>Aditya Banerjee</t>
  </si>
  <si>
    <t>Tech Lead</t>
  </si>
  <si>
    <t>Kolkata</t>
  </si>
  <si>
    <t>2018-06-25</t>
  </si>
  <si>
    <t>EMP016</t>
  </si>
  <si>
    <t>Rekha Sharma</t>
  </si>
  <si>
    <t>Finance Manager</t>
  </si>
  <si>
    <t>2016-01-12</t>
  </si>
  <si>
    <t>EMP017</t>
  </si>
  <si>
    <t>Nikhil Yadav</t>
  </si>
  <si>
    <t>Sales Executive</t>
  </si>
  <si>
    <t>Jaipur</t>
  </si>
  <si>
    <t>2023-04-01</t>
  </si>
  <si>
    <t>EMP018</t>
  </si>
  <si>
    <t>Sonia Kapoor</t>
  </si>
  <si>
    <t>Talent Acquisition</t>
  </si>
  <si>
    <t>2020-10-20</t>
  </si>
  <si>
    <t>EMP019</t>
  </si>
  <si>
    <t>Manish Tiwari</t>
  </si>
  <si>
    <t>Data Analyst</t>
  </si>
  <si>
    <t>2021-07-07</t>
  </si>
  <si>
    <t>EMP020</t>
  </si>
  <si>
    <t>Lakshmi Nair</t>
  </si>
  <si>
    <t>Process Analyst</t>
  </si>
  <si>
    <t>Kochi</t>
  </si>
  <si>
    <t>2019-03-28</t>
  </si>
  <si>
    <t>📊  KPI Summary — HR Performance &amp; Attendance Analytics</t>
  </si>
  <si>
    <t>Jan – Jun 2025  •  All 20 Employees  •  6 Departments  •  5 Locations</t>
  </si>
  <si>
    <t>👥  Total Employees</t>
  </si>
  <si>
    <t>📈  Avg Performance</t>
  </si>
  <si>
    <t>📅  Avg Attendance %</t>
  </si>
  <si>
    <t>✅  Tasks Completed</t>
  </si>
  <si>
    <t>🎁  Bonus Eligible</t>
  </si>
  <si>
    <t>🏆  High Performers</t>
  </si>
  <si>
    <t>⚠️  Low Performers</t>
  </si>
  <si>
    <t>🔴  High Risk Staff</t>
  </si>
  <si>
    <t>⏰  Total Overtime Hrs</t>
  </si>
  <si>
    <t>📋  Total Targets Set</t>
  </si>
  <si>
    <t>📊  DEPARTMENT-WISE SUMMARY</t>
  </si>
  <si>
    <t>Employees</t>
  </si>
  <si>
    <t>Avg Attendance %</t>
  </si>
  <si>
    <t>Avg Performance</t>
  </si>
  <si>
    <t>Total Tasks Done</t>
  </si>
  <si>
    <t>Total Target</t>
  </si>
  <si>
    <t>Avg OT Hours</t>
  </si>
  <si>
    <t>High Performers</t>
  </si>
  <si>
    <t>📈  Performance Analysis — Employee-wise &amp; Monthly Breakdown</t>
  </si>
  <si>
    <t>📅  MONTHLY PERFORMANCE TREND (All Employees)</t>
  </si>
  <si>
    <t>Avg Performance Score</t>
  </si>
  <si>
    <t>Avg Achievement %</t>
  </si>
  <si>
    <t>🏅  EMPLOYEE PERFORMANCE SCORECARD (Overall Average Across All Months)</t>
  </si>
  <si>
    <t>Total Tasks</t>
  </si>
  <si>
    <t>Bonus Count</t>
  </si>
  <si>
    <t>Risk Assessment</t>
  </si>
  <si>
    <t>📅  Attendance Analysis — Department &amp; Employee Breakdown</t>
  </si>
  <si>
    <t>🏢  ATTENDANCE BY DEPARTMENT</t>
  </si>
  <si>
    <t>Total Present</t>
  </si>
  <si>
    <t>Total Absent</t>
  </si>
  <si>
    <t>Total Leave</t>
  </si>
  <si>
    <t>Total WFH</t>
  </si>
  <si>
    <t>Absenteeism %</t>
  </si>
  <si>
    <t>Status</t>
  </si>
  <si>
    <t>📆  MONTHLY ATTENDANCE DISTRIBUTION</t>
  </si>
  <si>
    <t>📊  Chart Source Data — Pivot Tables for Dashboard Visuals</t>
  </si>
  <si>
    <t>Bonus Status</t>
  </si>
  <si>
    <t>Yes — Eligible</t>
  </si>
  <si>
    <t>No — Not Eligible</t>
  </si>
  <si>
    <t>Performance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</si>
</sst>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₹#,##0"/>
    <numFmt numFmtId="166" formatCode="0.0"/>
  </numFmts>
  <fonts count="39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90CAF9"/>
      <name val="Arial"/>
      <charset val="1"/>
    </font>
    <font>
      <b/>
      <sz val="9"/>
      <color rgb="FFFFFFFF"/>
      <name val="Arial"/>
      <charset val="1"/>
    </font>
    <font>
      <b/>
      <sz val="20"/>
      <color rgb="FF1565C0"/>
      <name val="Arial"/>
      <charset val="1"/>
    </font>
    <font>
      <b/>
      <sz val="20"/>
      <color rgb="FF1B5E20"/>
      <name val="Arial"/>
      <charset val="1"/>
    </font>
    <font>
      <b/>
      <sz val="20"/>
      <color rgb="FF1976D2"/>
      <name val="Arial"/>
      <charset val="1"/>
    </font>
    <font>
      <b/>
      <sz val="20"/>
      <color rgb="FF00695C"/>
      <name val="Arial"/>
      <charset val="1"/>
    </font>
    <font>
      <b/>
      <sz val="20"/>
      <color rgb="FFBF6900"/>
      <name val="Arial"/>
      <charset val="1"/>
    </font>
    <font>
      <b/>
      <sz val="20"/>
      <color rgb="FFB71C1C"/>
      <name val="Arial"/>
      <charset val="1"/>
    </font>
    <font>
      <b/>
      <sz val="16"/>
      <color rgb="FF4A148C"/>
      <name val="Arial"/>
      <charset val="1"/>
    </font>
    <font>
      <b/>
      <sz val="16"/>
      <color rgb="FFB71C1C"/>
      <name val="Arial"/>
      <charset val="1"/>
    </font>
    <font>
      <b/>
      <sz val="16"/>
      <color rgb="FFE65100"/>
      <name val="Arial"/>
      <charset val="1"/>
    </font>
    <font>
      <b/>
      <sz val="16"/>
      <color rgb="FF00695C"/>
      <name val="Arial"/>
      <charset val="1"/>
    </font>
    <font>
      <b/>
      <sz val="16"/>
      <color rgb="FF1565C0"/>
      <name val="Arial"/>
      <charset val="1"/>
    </font>
    <font>
      <b/>
      <sz val="16"/>
      <color rgb="FF0D3B6E"/>
      <name val="Arial"/>
      <charset val="1"/>
    </font>
    <font>
      <b/>
      <sz val="11"/>
      <color rgb="FFFFFFFF"/>
      <name val="Arial"/>
      <charset val="1"/>
    </font>
    <font>
      <b/>
      <sz val="9"/>
      <color rgb="FF0D3B6E"/>
      <name val="Arial"/>
      <charset val="1"/>
    </font>
    <font>
      <sz val="9"/>
      <color rgb="FF263238"/>
      <name val="Arial"/>
      <charset val="1"/>
    </font>
    <font>
      <b/>
      <sz val="9"/>
      <color rgb="FF1B5E20"/>
      <name val="Arial"/>
      <charset val="1"/>
    </font>
    <font>
      <b/>
      <sz val="9"/>
      <color rgb="FFE65100"/>
      <name val="Arial"/>
      <charset val="1"/>
    </font>
    <font>
      <b/>
      <sz val="9"/>
      <color rgb="FF4A148C"/>
      <name val="Arial"/>
      <charset val="1"/>
    </font>
    <font>
      <b/>
      <sz val="9"/>
      <color rgb="FFB71C1C"/>
      <name val="Arial"/>
      <charset val="1"/>
    </font>
    <font>
      <b/>
      <sz val="12"/>
      <color rgb="FFFFFFFF"/>
      <name val="Arial"/>
      <charset val="1"/>
    </font>
    <font>
      <b/>
      <sz val="9"/>
      <color rgb="FF1565C0"/>
      <name val="Arial"/>
      <charset val="1"/>
    </font>
    <font>
      <b/>
      <sz val="9"/>
      <color rgb="FF00695C"/>
      <name val="Arial"/>
      <charset val="1"/>
    </font>
    <font>
      <sz val="8"/>
      <color rgb="FFC62828"/>
      <name val="Courier New"/>
      <charset val="1"/>
    </font>
    <font>
      <b/>
      <sz val="14"/>
      <color rgb="FFFFFFFF"/>
      <name val="Arial"/>
      <charset val="1"/>
    </font>
    <font>
      <sz val="9"/>
      <color rgb="FF1A237E"/>
      <name val="Arial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22"/>
      <color rgb="FF1565C0"/>
      <name val="Arial"/>
      <charset val="1"/>
    </font>
    <font>
      <b/>
      <sz val="22"/>
      <color rgb="FF1B5E20"/>
      <name val="Arial"/>
      <charset val="1"/>
    </font>
    <font>
      <b/>
      <sz val="22"/>
      <color rgb="FF1976D2"/>
      <name val="Arial"/>
      <charset val="1"/>
    </font>
    <font>
      <b/>
      <sz val="22"/>
      <color rgb="FF00695C"/>
      <name val="Arial"/>
      <charset val="1"/>
    </font>
    <font>
      <b/>
      <sz val="22"/>
      <color rgb="FF4A148C"/>
      <name val="Arial"/>
      <charset val="1"/>
    </font>
    <font>
      <b/>
      <sz val="22"/>
      <color rgb="FFE65100"/>
      <name val="Arial"/>
      <charset val="1"/>
    </font>
    <font>
      <b/>
      <sz val="22"/>
      <color rgb="FFB71C1C"/>
      <name val="Arial"/>
      <charset val="1"/>
    </font>
    <font>
      <b/>
      <sz val="13"/>
      <color rgb="FFFFFFFF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0D3B6E"/>
        <bgColor rgb="FF1A237E"/>
      </patternFill>
    </fill>
    <fill>
      <patternFill patternType="solid">
        <fgColor rgb="FF0A2647"/>
        <bgColor rgb="FF263238"/>
      </patternFill>
    </fill>
    <fill>
      <patternFill patternType="solid">
        <fgColor rgb="FF1B5E20"/>
        <bgColor rgb="FF00695C"/>
      </patternFill>
    </fill>
    <fill>
      <patternFill patternType="solid">
        <fgColor rgb="FF1565C0"/>
        <bgColor rgb="FF1976D2"/>
      </patternFill>
    </fill>
    <fill>
      <patternFill patternType="solid">
        <fgColor rgb="FF00695C"/>
        <bgColor rgb="FF1B5E20"/>
      </patternFill>
    </fill>
    <fill>
      <patternFill patternType="solid">
        <fgColor rgb="FFF9A825"/>
        <bgColor rgb="FF9BBB59"/>
      </patternFill>
    </fill>
    <fill>
      <patternFill patternType="solid">
        <fgColor rgb="FFB71C1C"/>
        <bgColor rgb="FFC62828"/>
      </patternFill>
    </fill>
    <fill>
      <patternFill patternType="solid">
        <fgColor rgb="FFE3F2FD"/>
        <bgColor rgb="FFE0F2F1"/>
      </patternFill>
    </fill>
    <fill>
      <patternFill patternType="solid">
        <fgColor rgb="FFE8F5E9"/>
        <bgColor rgb="FFE0F2F1"/>
      </patternFill>
    </fill>
    <fill>
      <patternFill patternType="solid">
        <fgColor rgb="FFE8EAF6"/>
        <bgColor rgb="FFEEF2F7"/>
      </patternFill>
    </fill>
    <fill>
      <patternFill patternType="solid">
        <fgColor rgb="FFE0F2F1"/>
        <bgColor rgb="FFE3F2FD"/>
      </patternFill>
    </fill>
    <fill>
      <patternFill patternType="solid">
        <fgColor rgb="FFFFFDE7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4A148C"/>
        <bgColor rgb="FF1A237E"/>
      </patternFill>
    </fill>
    <fill>
      <patternFill patternType="solid">
        <fgColor rgb="FFE65100"/>
        <bgColor rgb="FFEF5350"/>
      </patternFill>
    </fill>
    <fill>
      <patternFill patternType="solid">
        <fgColor rgb="FFF3E5F5"/>
        <bgColor rgb="FFE8EAF6"/>
      </patternFill>
    </fill>
    <fill>
      <patternFill patternType="solid">
        <fgColor rgb="FFFFF3E0"/>
        <bgColor rgb="FFFFEBEE"/>
      </patternFill>
    </fill>
    <fill>
      <patternFill patternType="solid">
        <fgColor rgb="FFEEF2F7"/>
        <bgColor rgb="FFF5F7FA"/>
      </patternFill>
    </fill>
    <fill>
      <patternFill patternType="solid">
        <fgColor rgb="FF1976D2"/>
        <bgColor rgb="FF1565C0"/>
      </patternFill>
    </fill>
    <fill>
      <patternFill patternType="solid">
        <fgColor rgb="FF2E7D32"/>
        <bgColor rgb="FF1B5E20"/>
      </patternFill>
    </fill>
    <fill>
      <patternFill patternType="solid">
        <fgColor rgb="FFEF5350"/>
        <bgColor rgb="FFC0504D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</fills>
  <borders count="6">
    <border>
      <left/>
      <right/>
      <top/>
      <bottom/>
      <diagonal/>
    </border>
    <border>
      <left style="medium">
        <color rgb="FF607D8B"/>
      </left>
      <right/>
      <top style="medium">
        <color rgb="FF607D8B"/>
      </top>
      <bottom style="medium">
        <color rgb="FF607D8B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64B5F6"/>
      </left>
      <right style="thin">
        <color rgb="FF64B5F6"/>
      </right>
      <top style="thin">
        <color rgb="FF64B5F6"/>
      </top>
      <bottom style="thin">
        <color rgb="FF64B5F6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/>
    <xf numFmtId="0" fontId="3" fillId="20" borderId="2" xfId="0" applyFont="1" applyFill="1" applyBorder="1" applyAlignment="1">
      <alignment horizontal="center" vertical="center" wrapText="1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>
      <alignment horizontal="center" vertical="center" wrapText="1"/>
    </xf>
    <xf numFmtId="0" fontId="17" fillId="23" borderId="3" xfId="0" applyFont="1" applyFill="1" applyBorder="1" applyAlignment="1">
      <alignment horizontal="center" vertical="center"/>
    </xf>
    <xf numFmtId="166" fontId="18" fillId="23" borderId="3" xfId="0" applyNumberFormat="1" applyFont="1" applyFill="1" applyBorder="1" applyAlignment="1">
      <alignment horizontal="center" vertical="center"/>
    </xf>
    <xf numFmtId="164" fontId="18" fillId="23" borderId="3" xfId="0" applyNumberFormat="1" applyFont="1" applyFill="1" applyBorder="1" applyAlignment="1">
      <alignment horizontal="center" vertical="center"/>
    </xf>
    <xf numFmtId="0" fontId="18" fillId="23" borderId="3" xfId="0" applyFont="1" applyFill="1" applyBorder="1" applyAlignment="1">
      <alignment horizontal="center" vertical="center"/>
    </xf>
    <xf numFmtId="0" fontId="19" fillId="23" borderId="3" xfId="0" applyFont="1" applyFill="1" applyBorder="1" applyAlignment="1">
      <alignment horizontal="center" vertical="center"/>
    </xf>
    <xf numFmtId="0" fontId="17" fillId="24" borderId="3" xfId="0" applyFont="1" applyFill="1" applyBorder="1" applyAlignment="1">
      <alignment horizontal="center" vertical="center"/>
    </xf>
    <xf numFmtId="166" fontId="18" fillId="24" borderId="3" xfId="0" applyNumberFormat="1" applyFont="1" applyFill="1" applyBorder="1" applyAlignment="1">
      <alignment horizontal="center" vertical="center"/>
    </xf>
    <xf numFmtId="164" fontId="18" fillId="24" borderId="3" xfId="0" applyNumberFormat="1" applyFont="1" applyFill="1" applyBorder="1" applyAlignment="1">
      <alignment horizontal="center" vertical="center"/>
    </xf>
    <xf numFmtId="0" fontId="18" fillId="24" borderId="3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center" vertical="center"/>
    </xf>
    <xf numFmtId="0" fontId="20" fillId="24" borderId="3" xfId="0" applyFont="1" applyFill="1" applyBorder="1" applyAlignment="1">
      <alignment horizontal="center" vertical="center"/>
    </xf>
    <xf numFmtId="0" fontId="21" fillId="23" borderId="3" xfId="0" applyFont="1" applyFill="1" applyBorder="1" applyAlignment="1">
      <alignment horizontal="center" vertical="center"/>
    </xf>
    <xf numFmtId="0" fontId="22" fillId="2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3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8" fillId="24" borderId="3" xfId="0" applyFont="1" applyFill="1" applyBorder="1" applyAlignment="1">
      <alignment horizontal="center" vertical="center"/>
    </xf>
    <xf numFmtId="164" fontId="28" fillId="24" borderId="3" xfId="0" applyNumberFormat="1" applyFont="1" applyFill="1" applyBorder="1" applyAlignment="1">
      <alignment horizontal="center" vertical="center"/>
    </xf>
    <xf numFmtId="165" fontId="28" fillId="2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164" fontId="28" fillId="23" borderId="3" xfId="0" applyNumberFormat="1" applyFont="1" applyFill="1" applyBorder="1" applyAlignment="1">
      <alignment horizontal="center" vertical="center"/>
    </xf>
    <xf numFmtId="165" fontId="28" fillId="23" borderId="3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18" fillId="23" borderId="3" xfId="0" applyFont="1" applyFill="1" applyBorder="1" applyAlignment="1">
      <alignment horizontal="left" vertical="center"/>
    </xf>
    <xf numFmtId="0" fontId="18" fillId="24" borderId="3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center" vertical="center" wrapText="1"/>
    </xf>
    <xf numFmtId="0" fontId="20" fillId="23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9" fillId="14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165" fontId="15" fillId="19" borderId="1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8" borderId="0" xfId="0" applyFont="1" applyFill="1" applyBorder="1" applyAlignment="1">
      <alignment horizontal="left" vertical="center"/>
    </xf>
    <xf numFmtId="0" fontId="23" fillId="15" borderId="0" xfId="0" applyFont="1" applyFill="1" applyBorder="1" applyAlignment="1">
      <alignment horizontal="left" vertical="center"/>
    </xf>
    <xf numFmtId="3" fontId="10" fillId="17" borderId="1" xfId="0" applyNumberFormat="1" applyFont="1" applyFill="1" applyBorder="1" applyAlignment="1">
      <alignment horizontal="center" vertical="center"/>
    </xf>
    <xf numFmtId="3" fontId="11" fillId="14" borderId="1" xfId="0" applyNumberFormat="1" applyFont="1" applyFill="1" applyBorder="1" applyAlignment="1">
      <alignment horizontal="center" vertical="center"/>
    </xf>
    <xf numFmtId="3" fontId="12" fillId="18" borderId="1" xfId="0" applyNumberFormat="1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left" vertical="center"/>
    </xf>
    <xf numFmtId="0" fontId="18" fillId="24" borderId="4" xfId="0" applyFont="1" applyFill="1" applyBorder="1" applyAlignment="1">
      <alignment horizontal="left" vertical="center" wrapText="1"/>
    </xf>
    <xf numFmtId="0" fontId="22" fillId="23" borderId="4" xfId="0" applyFont="1" applyFill="1" applyBorder="1" applyAlignment="1">
      <alignment horizontal="left" vertical="center"/>
    </xf>
    <xf numFmtId="0" fontId="18" fillId="23" borderId="4" xfId="0" applyFont="1" applyFill="1" applyBorder="1" applyAlignment="1">
      <alignment horizontal="left" vertical="center" wrapText="1"/>
    </xf>
    <xf numFmtId="0" fontId="20" fillId="24" borderId="4" xfId="0" applyFont="1" applyFill="1" applyBorder="1" applyAlignment="1">
      <alignment horizontal="left" vertical="center"/>
    </xf>
    <xf numFmtId="0" fontId="19" fillId="23" borderId="4" xfId="0" applyFont="1" applyFill="1" applyBorder="1" applyAlignment="1">
      <alignment horizontal="left" vertical="center"/>
    </xf>
    <xf numFmtId="0" fontId="22" fillId="24" borderId="4" xfId="0" applyFont="1" applyFill="1" applyBorder="1" applyAlignment="1">
      <alignment horizontal="left" vertical="center"/>
    </xf>
    <xf numFmtId="0" fontId="25" fillId="23" borderId="4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6" fillId="25" borderId="4" xfId="0" applyFont="1" applyFill="1" applyBorder="1" applyAlignment="1">
      <alignment horizontal="left" vertical="center"/>
    </xf>
    <xf numFmtId="0" fontId="18" fillId="24" borderId="4" xfId="0" applyFont="1" applyFill="1" applyBorder="1" applyAlignment="1">
      <alignment horizontal="left" vertical="center"/>
    </xf>
    <xf numFmtId="0" fontId="18" fillId="23" borderId="4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3" fontId="31" fillId="9" borderId="1" xfId="0" applyNumberFormat="1" applyFont="1" applyFill="1" applyBorder="1" applyAlignment="1">
      <alignment horizontal="center" vertical="center"/>
    </xf>
    <xf numFmtId="166" fontId="32" fillId="10" borderId="1" xfId="0" applyNumberFormat="1" applyFont="1" applyFill="1" applyBorder="1" applyAlignment="1">
      <alignment horizontal="center" vertical="center"/>
    </xf>
    <xf numFmtId="164" fontId="33" fillId="11" borderId="1" xfId="0" applyNumberFormat="1" applyFont="1" applyFill="1" applyBorder="1" applyAlignment="1">
      <alignment horizontal="center" vertical="center"/>
    </xf>
    <xf numFmtId="3" fontId="34" fillId="12" borderId="1" xfId="0" applyNumberFormat="1" applyFont="1" applyFill="1" applyBorder="1" applyAlignment="1">
      <alignment horizontal="center" vertical="center"/>
    </xf>
    <xf numFmtId="3" fontId="35" fillId="17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left" vertical="center"/>
    </xf>
    <xf numFmtId="3" fontId="36" fillId="13" borderId="1" xfId="0" applyNumberFormat="1" applyFont="1" applyFill="1" applyBorder="1" applyAlignment="1">
      <alignment horizontal="center" vertical="center"/>
    </xf>
    <xf numFmtId="3" fontId="37" fillId="14" borderId="1" xfId="0" applyNumberFormat="1" applyFont="1" applyFill="1" applyBorder="1" applyAlignment="1">
      <alignment horizontal="center" vertical="center"/>
    </xf>
    <xf numFmtId="3" fontId="36" fillId="18" borderId="1" xfId="0" applyNumberFormat="1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27" fillId="16" borderId="0" xfId="0" applyFont="1" applyFill="1" applyBorder="1" applyAlignment="1">
      <alignment horizontal="center" vertical="center"/>
    </xf>
    <xf numFmtId="0" fontId="16" fillId="20" borderId="0" xfId="0" applyFont="1" applyFill="1" applyBorder="1" applyAlignment="1">
      <alignment horizontal="left" vertical="center"/>
    </xf>
    <xf numFmtId="0" fontId="16" fillId="16" borderId="0" xfId="0" applyFont="1" applyFill="1" applyBorder="1" applyAlignment="1">
      <alignment horizontal="left" vertical="center"/>
    </xf>
    <xf numFmtId="0" fontId="38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2E7D32"/>
      <rgbColor rgb="FF000080"/>
      <rgbColor rgb="FFBF6900"/>
      <rgbColor rgb="FF800080"/>
      <rgbColor rgb="FF00695C"/>
      <rgbColor rgb="FFD9D9D9"/>
      <rgbColor rgb="FF878787"/>
      <rgbColor rgb="FFEEF2F7"/>
      <rgbColor rgb="FFC0504D"/>
      <rgbColor rgb="FFFFFDE7"/>
      <rgbColor rgb="FFE0F2F1"/>
      <rgbColor rgb="FF4A148C"/>
      <rgbColor rgb="FFEF5350"/>
      <rgbColor rgb="FF1565C0"/>
      <rgbColor rgb="FFCFD8DC"/>
      <rgbColor rgb="FF000080"/>
      <rgbColor rgb="FFFF00FF"/>
      <rgbColor rgb="FFFAFAFA"/>
      <rgbColor rgb="FF00FFFF"/>
      <rgbColor rgb="FF800080"/>
      <rgbColor rgb="FF800000"/>
      <rgbColor rgb="FF4F81BD"/>
      <rgbColor rgb="FF0000FF"/>
      <rgbColor rgb="FF00CCFF"/>
      <rgbColor rgb="FFE3F2FD"/>
      <rgbColor rgb="FFE8F5E9"/>
      <rgbColor rgb="FFFFF3E0"/>
      <rgbColor rgb="FF90CAF9"/>
      <rgbColor rgb="FFFFEBEE"/>
      <rgbColor rgb="FFE8EAF6"/>
      <rgbColor rgb="FFF3E5F5"/>
      <rgbColor rgb="FF1976D2"/>
      <rgbColor rgb="FF64B5F6"/>
      <rgbColor rgb="FF9BBB59"/>
      <rgbColor rgb="FFF5F7FA"/>
      <rgbColor rgb="FFF9A825"/>
      <rgbColor rgb="FFE65100"/>
      <rgbColor rgb="FF8064A2"/>
      <rgbColor rgb="FF607D8B"/>
      <rgbColor rgb="FF0D3B6E"/>
      <rgbColor rgb="FF4CAF50"/>
      <rgbColor rgb="FF0A2647"/>
      <rgbColor rgb="FF1B5E20"/>
      <rgbColor rgb="FFB71C1C"/>
      <rgbColor rgb="FFC62828"/>
      <rgbColor rgb="FF1A237E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Performance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Data'!B3</c:f>
              <c:strCache>
                <c:ptCount val="1"/>
                <c:pt idx="0">
                  <c:v>Avg Performance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Data'!$A$4:$A$9</c:f>
              <c:strCache>
                <c:ptCount val="6"/>
                <c:pt idx="0">
                  <c:v>Technology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'Chart Data'!$B$4:$B$9</c:f>
              <c:numCache>
                <c:formatCode>0.0</c:formatCode>
                <c:ptCount val="6"/>
                <c:pt idx="0">
                  <c:v>7.8111111111111127</c:v>
                </c:pt>
                <c:pt idx="1">
                  <c:v>7.333333333333333</c:v>
                </c:pt>
                <c:pt idx="2">
                  <c:v>7.8222222222222229</c:v>
                </c:pt>
                <c:pt idx="3">
                  <c:v>7.7555555555555538</c:v>
                </c:pt>
                <c:pt idx="4">
                  <c:v>8.0944444444444432</c:v>
                </c:pt>
                <c:pt idx="5">
                  <c:v>7.7666666666666657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6-2A4B-9223-492AFFBC32A4}"/>
            </c:ext>
          </c:extLst>
        </c:ser>
        <c:ser>
          <c:idx val="1"/>
          <c:order val="1"/>
          <c:tx>
            <c:strRef>
              <c:f>'Chart Data'!C3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Data'!$A$4:$A$9</c:f>
              <c:strCache>
                <c:ptCount val="6"/>
                <c:pt idx="0">
                  <c:v>Technology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'Chart Data'!$C$4:$C$9</c:f>
              <c:numCache>
                <c:formatCode>0.0%</c:formatCode>
                <c:ptCount val="6"/>
                <c:pt idx="0">
                  <c:v>0.8550416666666667</c:v>
                </c:pt>
                <c:pt idx="1">
                  <c:v>0.871</c:v>
                </c:pt>
                <c:pt idx="2">
                  <c:v>0.86638888888888888</c:v>
                </c:pt>
                <c:pt idx="3">
                  <c:v>0.86257777777777789</c:v>
                </c:pt>
                <c:pt idx="4">
                  <c:v>0.85255555555555551</c:v>
                </c:pt>
                <c:pt idx="5">
                  <c:v>0.8647166666666668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6-2A4B-9223-492AFFBC3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877"/>
        <c:axId val="74580745"/>
      </c:barChart>
      <c:catAx>
        <c:axId val="501108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80745"/>
        <c:crosses val="autoZero"/>
        <c:auto val="1"/>
        <c:lblAlgn val="ctr"/>
        <c:lblOffset val="100"/>
        <c:noMultiLvlLbl val="0"/>
      </c:catAx>
      <c:valAx>
        <c:axId val="74580745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Score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110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Performance &amp; Attendance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Data'!G3</c:f>
              <c:strCache>
                <c:ptCount val="1"/>
                <c:pt idx="0">
                  <c:v>Avg Performance</c:v>
                </c:pt>
              </c:strCache>
            </c:strRef>
          </c:tx>
          <c:spPr>
            <a:ln w="248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Data'!$G$4:$G$9</c:f>
              <c:numCache>
                <c:formatCode>0.0</c:formatCode>
                <c:ptCount val="6"/>
                <c:pt idx="0">
                  <c:v>7.9049999999999994</c:v>
                </c:pt>
                <c:pt idx="1">
                  <c:v>7.67</c:v>
                </c:pt>
                <c:pt idx="2">
                  <c:v>7.6349999999999998</c:v>
                </c:pt>
                <c:pt idx="3">
                  <c:v>7.669999999999999</c:v>
                </c:pt>
                <c:pt idx="4">
                  <c:v>7.7999999999999989</c:v>
                </c:pt>
                <c:pt idx="5">
                  <c:v>7.9449999999999985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8E-284C-A902-8753D8E5BD46}"/>
            </c:ext>
          </c:extLst>
        </c:ser>
        <c:ser>
          <c:idx val="1"/>
          <c:order val="1"/>
          <c:tx>
            <c:strRef>
              <c:f>'Chart Data'!H3</c:f>
              <c:strCache>
                <c:ptCount val="1"/>
                <c:pt idx="0">
                  <c:v>Avg Attendance %</c:v>
                </c:pt>
              </c:strCache>
            </c:strRef>
          </c:tx>
          <c:spPr>
            <a:ln w="2484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Data'!$F$4:$F$9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Data'!$H$4:$H$9</c:f>
              <c:numCache>
                <c:formatCode>0.0%</c:formatCode>
                <c:ptCount val="6"/>
                <c:pt idx="0">
                  <c:v>0.89565000000000006</c:v>
                </c:pt>
                <c:pt idx="1">
                  <c:v>0.84250000000000003</c:v>
                </c:pt>
                <c:pt idx="2">
                  <c:v>0.83570500000000014</c:v>
                </c:pt>
                <c:pt idx="3">
                  <c:v>0.87953500000000007</c:v>
                </c:pt>
                <c:pt idx="4">
                  <c:v>0.86428500000000008</c:v>
                </c:pt>
                <c:pt idx="5">
                  <c:v>0.84750000000000014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8E-284C-A902-8753D8E5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360090"/>
        <c:axId val="76438564"/>
      </c:lineChart>
      <c:catAx>
        <c:axId val="723600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38564"/>
        <c:crosses val="autoZero"/>
        <c:auto val="1"/>
        <c:lblAlgn val="ctr"/>
        <c:lblOffset val="100"/>
        <c:noMultiLvlLbl val="0"/>
      </c:catAx>
      <c:valAx>
        <c:axId val="76438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Score /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60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Employee 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Data'!M3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Data'!$L$4:$L$7</c:f>
              <c:strCache>
                <c:ptCount val="4"/>
                <c:pt idx="0">
                  <c:v>OK</c:v>
                </c:pt>
                <c:pt idx="1">
                  <c:v>Attendance Risk</c:v>
                </c:pt>
                <c:pt idx="2">
                  <c:v>High Risk</c:v>
                </c:pt>
                <c:pt idx="3">
                  <c:v>Performance Risk</c:v>
                </c:pt>
              </c:strCache>
            </c:strRef>
          </c:cat>
          <c:val>
            <c:numRef>
              <c:f>'Chart Data'!$M$4:$M$7</c:f>
              <c:numCache>
                <c:formatCode>General</c:formatCode>
                <c:ptCount val="4"/>
                <c:pt idx="0">
                  <c:v>65</c:v>
                </c:pt>
                <c:pt idx="1">
                  <c:v>51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D-EE4D-867D-735665FB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6</xdr:col>
      <xdr:colOff>402120</xdr:colOff>
      <xdr:row>39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12</xdr:col>
      <xdr:colOff>628560</xdr:colOff>
      <xdr:row>39</xdr:row>
      <xdr:rowOff>127800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17</xdr:col>
      <xdr:colOff>57240</xdr:colOff>
      <xdr:row>39</xdr:row>
      <xdr:rowOff>127800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E"/>
  </sheetPr>
  <dimension ref="A1:S64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9" width="9.55078125" style="1" customWidth="1"/>
  </cols>
  <sheetData>
    <row r="1" spans="1:18" ht="54.75" customHeight="1" x14ac:dyDescent="0.2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25.5" customHeight="1" x14ac:dyDescent="0.2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9.75" customHeight="1" x14ac:dyDescent="0.2"/>
    <row r="4" spans="1:18" ht="25.5" customHeight="1" x14ac:dyDescent="0.2">
      <c r="A4" s="43" t="s">
        <v>2</v>
      </c>
      <c r="B4" s="43"/>
      <c r="C4" s="43"/>
      <c r="D4" s="44" t="s">
        <v>3</v>
      </c>
      <c r="E4" s="44"/>
      <c r="F4" s="44"/>
      <c r="G4" s="45" t="s">
        <v>4</v>
      </c>
      <c r="H4" s="45"/>
      <c r="I4" s="45"/>
      <c r="J4" s="46" t="s">
        <v>5</v>
      </c>
      <c r="K4" s="46"/>
      <c r="L4" s="46"/>
      <c r="M4" s="47" t="s">
        <v>6</v>
      </c>
      <c r="N4" s="47"/>
      <c r="O4" s="47"/>
      <c r="P4" s="48" t="s">
        <v>7</v>
      </c>
      <c r="Q4" s="48"/>
      <c r="R4" s="48"/>
    </row>
    <row r="5" spans="1:18" ht="45.75" customHeight="1" x14ac:dyDescent="0.2">
      <c r="A5" s="52">
        <f>'KPI Summary'!B5</f>
        <v>0</v>
      </c>
      <c r="B5" s="52"/>
      <c r="C5" s="52"/>
      <c r="D5" s="53">
        <f>'KPI Summary'!D5</f>
        <v>0</v>
      </c>
      <c r="E5" s="53"/>
      <c r="F5" s="53"/>
      <c r="G5" s="54">
        <f>'KPI Summary'!F5</f>
        <v>0</v>
      </c>
      <c r="H5" s="54"/>
      <c r="I5" s="54"/>
      <c r="J5" s="55">
        <f>'KPI Summary'!H5</f>
        <v>0</v>
      </c>
      <c r="K5" s="55"/>
      <c r="L5" s="55"/>
      <c r="M5" s="56">
        <f>'KPI Summary'!B8</f>
        <v>0</v>
      </c>
      <c r="N5" s="56"/>
      <c r="O5" s="56"/>
      <c r="P5" s="49">
        <f>'KPI Summary'!G8</f>
        <v>1293</v>
      </c>
      <c r="Q5" s="49"/>
      <c r="R5" s="49"/>
    </row>
    <row r="6" spans="1:18" ht="9.75" customHeight="1" x14ac:dyDescent="0.2"/>
    <row r="7" spans="1:18" ht="25.5" customHeight="1" x14ac:dyDescent="0.2">
      <c r="A7" s="50" t="s">
        <v>8</v>
      </c>
      <c r="B7" s="50"/>
      <c r="C7" s="50"/>
      <c r="D7" s="48" t="s">
        <v>9</v>
      </c>
      <c r="E7" s="48"/>
      <c r="F7" s="48"/>
      <c r="G7" s="51" t="s">
        <v>10</v>
      </c>
      <c r="H7" s="51"/>
      <c r="I7" s="51"/>
      <c r="J7" s="46" t="s">
        <v>11</v>
      </c>
      <c r="K7" s="46"/>
      <c r="L7" s="46"/>
      <c r="M7" s="45" t="s">
        <v>12</v>
      </c>
      <c r="N7" s="45"/>
      <c r="O7" s="45"/>
      <c r="P7" s="43" t="s">
        <v>13</v>
      </c>
      <c r="Q7" s="43"/>
      <c r="R7" s="43"/>
    </row>
    <row r="8" spans="1:18" ht="37.5" customHeight="1" x14ac:dyDescent="0.2">
      <c r="A8" s="62">
        <f>'KPI Summary'!J5</f>
        <v>0</v>
      </c>
      <c r="B8" s="62"/>
      <c r="C8" s="62"/>
      <c r="D8" s="63">
        <f>'KPI Summary'!D8</f>
        <v>0</v>
      </c>
      <c r="E8" s="63"/>
      <c r="F8" s="63"/>
      <c r="G8" s="64">
        <f>'KPI Summary'!H8</f>
        <v>0</v>
      </c>
      <c r="H8" s="64"/>
      <c r="I8" s="64"/>
      <c r="J8" s="65">
        <f>'KPI Summary'!J8</f>
        <v>0</v>
      </c>
      <c r="K8" s="65"/>
      <c r="L8" s="65"/>
      <c r="M8" s="66">
        <f>AVERAGE('Raw Data'!W3:W122)</f>
        <v>3.9346666666666668</v>
      </c>
      <c r="N8" s="66"/>
      <c r="O8" s="66"/>
      <c r="P8" s="57">
        <f>SUM('Raw Data'!AB3:AB122)/6</f>
        <v>1395000</v>
      </c>
      <c r="Q8" s="57"/>
      <c r="R8" s="57"/>
    </row>
    <row r="9" spans="1:18" ht="12" customHeight="1" x14ac:dyDescent="0.2"/>
    <row r="10" spans="1:18" ht="25.5" customHeight="1" x14ac:dyDescent="0.2">
      <c r="A10" s="58" t="s">
        <v>14</v>
      </c>
      <c r="B10" s="58"/>
      <c r="C10" s="58"/>
      <c r="D10" s="58"/>
      <c r="E10" s="58"/>
      <c r="F10" s="58"/>
      <c r="H10" s="59" t="s">
        <v>15</v>
      </c>
      <c r="I10" s="59"/>
      <c r="J10" s="59"/>
      <c r="K10" s="59"/>
      <c r="L10" s="59"/>
      <c r="M10" s="59"/>
      <c r="O10" s="60" t="s">
        <v>16</v>
      </c>
      <c r="P10" s="60"/>
      <c r="Q10" s="60"/>
      <c r="R10" s="60"/>
    </row>
    <row r="11" spans="1:18" ht="24" customHeight="1" x14ac:dyDescent="0.2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H11" s="3" t="s">
        <v>23</v>
      </c>
      <c r="I11" s="3" t="s">
        <v>24</v>
      </c>
      <c r="J11" s="3" t="s">
        <v>18</v>
      </c>
      <c r="K11" s="3" t="s">
        <v>19</v>
      </c>
      <c r="L11" s="3" t="s">
        <v>25</v>
      </c>
      <c r="M11" s="3" t="s">
        <v>26</v>
      </c>
      <c r="O11" s="4" t="s">
        <v>27</v>
      </c>
      <c r="P11" s="4" t="s">
        <v>28</v>
      </c>
      <c r="Q11" s="4" t="s">
        <v>29</v>
      </c>
      <c r="R11" s="4" t="s">
        <v>30</v>
      </c>
    </row>
    <row r="12" spans="1:18" ht="21.75" customHeight="1" x14ac:dyDescent="0.2">
      <c r="A12" s="5" t="s">
        <v>31</v>
      </c>
      <c r="B12" s="6">
        <f>IFERROR(AVERAGEIF('Raw Data'!C3:C122,"Technology",'Raw Data'!Z3:Z122),0)</f>
        <v>7.8111111111111127</v>
      </c>
      <c r="C12" s="7">
        <f>IFERROR(AVERAGEIF('Raw Data'!C3:C122,"Technology",'Raw Data'!Q3:Q122),0)</f>
        <v>0.8550416666666667</v>
      </c>
      <c r="D12" s="8">
        <f>SUMIF('Raw Data'!C3:C122,"Technology",'Raw Data'!U3:U122)</f>
        <v>787</v>
      </c>
      <c r="E12" s="8">
        <f>SUMIF('Raw Data'!C3:C122,"Technology",'Raw Data'!T3:T122)</f>
        <v>866</v>
      </c>
      <c r="F12" s="8">
        <f>COUNTIFS('Raw Data'!C3:C122,"Technology",'Raw Data'!AD3:AD122,"High Risk")</f>
        <v>0</v>
      </c>
      <c r="H12" s="9" t="s">
        <v>32</v>
      </c>
      <c r="I12" s="8">
        <v>23</v>
      </c>
      <c r="J12" s="6">
        <f>IFERROR(AVERAGEIF('Raw Data'!K3:K122,"Jan",'Raw Data'!Z3:Z122),0)</f>
        <v>7.9049999999999994</v>
      </c>
      <c r="K12" s="7">
        <f>IFERROR(AVERAGEIF('Raw Data'!K3:K122,"Jan",'Raw Data'!Q3:Q122),0)</f>
        <v>0.89565000000000006</v>
      </c>
      <c r="L12" s="8">
        <f>SUMIF('Raw Data'!K3:K122,"Jan",'Raw Data'!U3:U122)</f>
        <v>417</v>
      </c>
      <c r="M12" s="7">
        <f>IFERROR(E12/F12,0)</f>
        <v>0</v>
      </c>
      <c r="O12" s="9" t="s">
        <v>33</v>
      </c>
      <c r="P12" s="8">
        <f>COUNTIF('Raw Data'!AD3:AD122,"OK")</f>
        <v>65</v>
      </c>
      <c r="Q12" s="7">
        <f>IFERROR(P12/120,0)</f>
        <v>0.54166666666666663</v>
      </c>
      <c r="R12" s="8" t="s">
        <v>34</v>
      </c>
    </row>
    <row r="13" spans="1:18" ht="21.75" customHeight="1" x14ac:dyDescent="0.2">
      <c r="A13" s="10" t="s">
        <v>35</v>
      </c>
      <c r="B13" s="11">
        <f>IFERROR(AVERAGEIF('Raw Data'!C3:C122,"HR",'Raw Data'!Z3:Z122),0)</f>
        <v>7.333333333333333</v>
      </c>
      <c r="C13" s="12">
        <f>IFERROR(AVERAGEIF('Raw Data'!C3:C122,"HR",'Raw Data'!Q3:Q122),0)</f>
        <v>0.871</v>
      </c>
      <c r="D13" s="13">
        <f>SUMIF('Raw Data'!C3:C122,"HR",'Raw Data'!U3:U122)</f>
        <v>436</v>
      </c>
      <c r="E13" s="13">
        <f>SUMIF('Raw Data'!C3:C122,"HR",'Raw Data'!T3:T122)</f>
        <v>516</v>
      </c>
      <c r="F13" s="13">
        <f>COUNTIFS('Raw Data'!C3:C122,"HR",'Raw Data'!AD3:AD122,"High Risk")</f>
        <v>3</v>
      </c>
      <c r="H13" s="14" t="s">
        <v>36</v>
      </c>
      <c r="I13" s="13">
        <v>20</v>
      </c>
      <c r="J13" s="11">
        <f>IFERROR(AVERAGEIF('Raw Data'!K3:K122,"Feb",'Raw Data'!Z3:Z122),0)</f>
        <v>7.67</v>
      </c>
      <c r="K13" s="12">
        <f>IFERROR(AVERAGEIF('Raw Data'!K3:K122,"Feb",'Raw Data'!Q3:Q122),0)</f>
        <v>0.84250000000000003</v>
      </c>
      <c r="L13" s="13">
        <f>SUMIF('Raw Data'!K3:K122,"Feb",'Raw Data'!U3:U122)</f>
        <v>437</v>
      </c>
      <c r="M13" s="12">
        <f>IFERROR(E13/F13,0)</f>
        <v>172</v>
      </c>
      <c r="O13" s="15" t="s">
        <v>37</v>
      </c>
      <c r="P13" s="13">
        <f>COUNTIF('Raw Data'!AD3:AD122,"Attendance Risk")</f>
        <v>51</v>
      </c>
      <c r="Q13" s="12">
        <f>IFERROR(P13/120,0)</f>
        <v>0.42499999999999999</v>
      </c>
      <c r="R13" s="13" t="s">
        <v>38</v>
      </c>
    </row>
    <row r="14" spans="1:18" ht="21.75" customHeight="1" x14ac:dyDescent="0.2">
      <c r="A14" s="5" t="s">
        <v>39</v>
      </c>
      <c r="B14" s="6">
        <f>IFERROR(AVERAGEIF('Raw Data'!C3:C122,"Finance",'Raw Data'!Z3:Z122),0)</f>
        <v>7.8222222222222229</v>
      </c>
      <c r="C14" s="7">
        <f>IFERROR(AVERAGEIF('Raw Data'!C3:C122,"Finance",'Raw Data'!Q3:Q122),0)</f>
        <v>0.86638888888888888</v>
      </c>
      <c r="D14" s="8">
        <f>SUMIF('Raw Data'!C3:C122,"Finance",'Raw Data'!U3:U122)</f>
        <v>411</v>
      </c>
      <c r="E14" s="8">
        <f>SUMIF('Raw Data'!C3:C122,"Finance",'Raw Data'!T3:T122)</f>
        <v>476</v>
      </c>
      <c r="F14" s="8">
        <f>COUNTIFS('Raw Data'!C3:C122,"Finance",'Raw Data'!AD3:AD122,"High Risk")</f>
        <v>0</v>
      </c>
      <c r="H14" s="9" t="s">
        <v>40</v>
      </c>
      <c r="I14" s="8">
        <v>21</v>
      </c>
      <c r="J14" s="6">
        <f>IFERROR(AVERAGEIF('Raw Data'!K3:K122,"Mar",'Raw Data'!Z3:Z122),0)</f>
        <v>7.6349999999999998</v>
      </c>
      <c r="K14" s="7">
        <f>IFERROR(AVERAGEIF('Raw Data'!K3:K122,"Mar",'Raw Data'!Q3:Q122),0)</f>
        <v>0.83570500000000014</v>
      </c>
      <c r="L14" s="8">
        <f>SUMIF('Raw Data'!K3:K122,"Mar",'Raw Data'!U3:U122)</f>
        <v>495</v>
      </c>
      <c r="M14" s="7">
        <f>IFERROR(E14/F14,0)</f>
        <v>0</v>
      </c>
      <c r="O14" s="16" t="s">
        <v>41</v>
      </c>
      <c r="P14" s="8">
        <f>COUNTIF('Raw Data'!AD3:AD122,"Performance Risk")</f>
        <v>0</v>
      </c>
      <c r="Q14" s="7">
        <f>IFERROR(P14/120,0)</f>
        <v>0</v>
      </c>
      <c r="R14" s="8" t="s">
        <v>42</v>
      </c>
    </row>
    <row r="15" spans="1:18" ht="21.75" customHeight="1" x14ac:dyDescent="0.2">
      <c r="A15" s="10" t="s">
        <v>43</v>
      </c>
      <c r="B15" s="11">
        <f>IFERROR(AVERAGEIF('Raw Data'!C3:C122,"Sales",'Raw Data'!Z3:Z122),0)</f>
        <v>7.7555555555555538</v>
      </c>
      <c r="C15" s="12">
        <f>IFERROR(AVERAGEIF('Raw Data'!C3:C122,"Sales",'Raw Data'!Q3:Q122),0)</f>
        <v>0.86257777777777789</v>
      </c>
      <c r="D15" s="13">
        <f>SUMIF('Raw Data'!C3:C122,"Sales",'Raw Data'!U3:U122)</f>
        <v>414</v>
      </c>
      <c r="E15" s="13">
        <f>SUMIF('Raw Data'!C3:C122,"Sales",'Raw Data'!T3:T122)</f>
        <v>452</v>
      </c>
      <c r="F15" s="13">
        <f>COUNTIFS('Raw Data'!C3:C122,"Sales",'Raw Data'!AD3:AD122,"High Risk")</f>
        <v>0</v>
      </c>
      <c r="H15" s="14" t="s">
        <v>44</v>
      </c>
      <c r="I15" s="13">
        <v>22</v>
      </c>
      <c r="J15" s="11">
        <f>IFERROR(AVERAGEIF('Raw Data'!K3:K122,"Apr",'Raw Data'!Z3:Z122),0)</f>
        <v>7.669999999999999</v>
      </c>
      <c r="K15" s="12">
        <f>IFERROR(AVERAGEIF('Raw Data'!K3:K122,"Apr",'Raw Data'!Q3:Q122),0)</f>
        <v>0.87953500000000007</v>
      </c>
      <c r="L15" s="13">
        <f>SUMIF('Raw Data'!K3:K122,"Apr",'Raw Data'!U3:U122)</f>
        <v>454</v>
      </c>
      <c r="M15" s="12">
        <f>IFERROR(E15/F15,0)</f>
        <v>0</v>
      </c>
      <c r="O15" s="17" t="s">
        <v>45</v>
      </c>
      <c r="P15" s="13">
        <f>COUNTIF('Raw Data'!AD3:AD122,"High Risk")</f>
        <v>4</v>
      </c>
      <c r="Q15" s="12">
        <f>IFERROR(P15/120,0)</f>
        <v>3.3333333333333333E-2</v>
      </c>
      <c r="R15" s="13" t="s">
        <v>46</v>
      </c>
    </row>
    <row r="16" spans="1:18" ht="21.75" customHeight="1" x14ac:dyDescent="0.2">
      <c r="A16" s="5" t="s">
        <v>47</v>
      </c>
      <c r="B16" s="6">
        <f>IFERROR(AVERAGEIF('Raw Data'!C3:C122,"Operations",'Raw Data'!Z3:Z122),0)</f>
        <v>8.0944444444444432</v>
      </c>
      <c r="C16" s="7">
        <f>IFERROR(AVERAGEIF('Raw Data'!C3:C122,"Operations",'Raw Data'!Q3:Q122),0)</f>
        <v>0.85255555555555551</v>
      </c>
      <c r="D16" s="8">
        <f>SUMIF('Raw Data'!C3:C122,"Operations",'Raw Data'!U3:U122)</f>
        <v>406</v>
      </c>
      <c r="E16" s="8">
        <f>SUMIF('Raw Data'!C3:C122,"Operations",'Raw Data'!T3:T122)</f>
        <v>442</v>
      </c>
      <c r="F16" s="8">
        <f>COUNTIFS('Raw Data'!C3:C122,"Operations",'Raw Data'!AD3:AD122,"High Risk")</f>
        <v>0</v>
      </c>
      <c r="H16" s="9" t="s">
        <v>48</v>
      </c>
      <c r="I16" s="8">
        <v>21</v>
      </c>
      <c r="J16" s="6">
        <f>IFERROR(AVERAGEIF('Raw Data'!K3:K122,"May",'Raw Data'!Z3:Z122),0)</f>
        <v>7.7999999999999989</v>
      </c>
      <c r="K16" s="7">
        <f>IFERROR(AVERAGEIF('Raw Data'!K3:K122,"May",'Raw Data'!Q3:Q122),0)</f>
        <v>0.86428500000000008</v>
      </c>
      <c r="L16" s="8">
        <f>SUMIF('Raw Data'!K3:K122,"May",'Raw Data'!U3:U122)</f>
        <v>450</v>
      </c>
      <c r="M16" s="7">
        <f>IFERROR(E16/F16,0)</f>
        <v>0</v>
      </c>
    </row>
    <row r="17" spans="1:18" ht="21.75" customHeight="1" x14ac:dyDescent="0.2">
      <c r="A17" s="10" t="s">
        <v>49</v>
      </c>
      <c r="B17" s="11">
        <f>IFERROR(AVERAGEIF('Raw Data'!C3:C122,"Marketing",'Raw Data'!Z3:Z122),0)</f>
        <v>7.7666666666666657</v>
      </c>
      <c r="C17" s="12">
        <f>IFERROR(AVERAGEIF('Raw Data'!C3:C122,"Marketing",'Raw Data'!Q3:Q122),0)</f>
        <v>0.8647166666666668</v>
      </c>
      <c r="D17" s="13">
        <f>SUMIF('Raw Data'!C3:C122,"Marketing",'Raw Data'!U3:U122)</f>
        <v>264</v>
      </c>
      <c r="E17" s="13">
        <f>SUMIF('Raw Data'!C3:C122,"Marketing",'Raw Data'!T3:T122)</f>
        <v>299</v>
      </c>
      <c r="F17" s="13">
        <f>COUNTIFS('Raw Data'!C3:C122,"Marketing",'Raw Data'!AD3:AD122,"High Risk")</f>
        <v>1</v>
      </c>
      <c r="H17" s="14" t="s">
        <v>50</v>
      </c>
      <c r="I17" s="13">
        <v>20</v>
      </c>
      <c r="J17" s="11">
        <f>IFERROR(AVERAGEIF('Raw Data'!K3:K122,"Jun",'Raw Data'!Z3:Z122),0)</f>
        <v>7.9449999999999985</v>
      </c>
      <c r="K17" s="12">
        <f>IFERROR(AVERAGEIF('Raw Data'!K3:K122,"Jun",'Raw Data'!Q3:Q122),0)</f>
        <v>0.84750000000000014</v>
      </c>
      <c r="L17" s="13">
        <f>SUMIF('Raw Data'!K3:K122,"Jun",'Raw Data'!U3:U122)</f>
        <v>465</v>
      </c>
      <c r="M17" s="12">
        <f>IFERROR(E17/F17,0)</f>
        <v>299</v>
      </c>
    </row>
    <row r="18" spans="1:18" ht="19.5" customHeight="1" x14ac:dyDescent="0.2"/>
    <row r="19" spans="1:18" ht="12" customHeight="1" x14ac:dyDescent="0.2"/>
    <row r="20" spans="1:18" ht="27.75" customHeight="1" x14ac:dyDescent="0.2">
      <c r="A20" s="61" t="s">
        <v>51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</row>
    <row r="21" spans="1:18" ht="21.75" customHeight="1" x14ac:dyDescent="0.2">
      <c r="A21" s="67" t="s">
        <v>52</v>
      </c>
      <c r="B21" s="67"/>
      <c r="C21" s="67"/>
      <c r="D21" s="68" t="s">
        <v>53</v>
      </c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</row>
    <row r="22" spans="1:18" ht="21.75" customHeight="1" x14ac:dyDescent="0.2">
      <c r="A22" s="69" t="s">
        <v>54</v>
      </c>
      <c r="B22" s="69"/>
      <c r="C22" s="69"/>
      <c r="D22" s="70" t="s">
        <v>55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</row>
    <row r="23" spans="1:18" ht="21.75" customHeight="1" x14ac:dyDescent="0.2">
      <c r="A23" s="71" t="s">
        <v>56</v>
      </c>
      <c r="B23" s="71"/>
      <c r="C23" s="71"/>
      <c r="D23" s="68" t="s">
        <v>57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</row>
    <row r="24" spans="1:18" ht="21.75" customHeight="1" x14ac:dyDescent="0.2">
      <c r="A24" s="72" t="s">
        <v>58</v>
      </c>
      <c r="B24" s="72"/>
      <c r="C24" s="72"/>
      <c r="D24" s="70" t="s">
        <v>59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</row>
    <row r="25" spans="1:18" ht="21.75" customHeight="1" x14ac:dyDescent="0.2">
      <c r="A25" s="73" t="s">
        <v>60</v>
      </c>
      <c r="B25" s="73"/>
      <c r="C25" s="73"/>
      <c r="D25" s="68" t="s">
        <v>61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</row>
    <row r="26" spans="1:18" ht="21.75" customHeight="1" x14ac:dyDescent="0.2">
      <c r="A26" s="74" t="s">
        <v>62</v>
      </c>
      <c r="B26" s="74"/>
      <c r="C26" s="74"/>
      <c r="D26" s="70" t="s">
        <v>63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</row>
    <row r="27" spans="1:18" ht="19.5" customHeight="1" x14ac:dyDescent="0.2"/>
    <row r="28" spans="1:18" ht="12" customHeight="1" x14ac:dyDescent="0.2"/>
    <row r="29" spans="1:18" ht="27.75" customHeight="1" x14ac:dyDescent="0.2">
      <c r="A29" s="75" t="s">
        <v>64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</row>
    <row r="30" spans="1:18" ht="19.5" customHeight="1" x14ac:dyDescent="0.2">
      <c r="A30" s="18" t="s">
        <v>65</v>
      </c>
      <c r="B30" s="76" t="s">
        <v>66</v>
      </c>
      <c r="C30" s="76"/>
      <c r="D30" s="76"/>
      <c r="E30" s="76"/>
      <c r="F30" s="76"/>
      <c r="G30" s="76"/>
      <c r="H30" s="76"/>
      <c r="I30" s="76"/>
      <c r="J30" s="76"/>
      <c r="K30" s="77" t="s">
        <v>67</v>
      </c>
      <c r="L30" s="77"/>
      <c r="M30" s="77"/>
      <c r="N30" s="77"/>
      <c r="O30" s="77"/>
      <c r="P30" s="77"/>
      <c r="Q30" s="77"/>
      <c r="R30" s="77"/>
    </row>
    <row r="31" spans="1:18" ht="21.75" customHeight="1" x14ac:dyDescent="0.2">
      <c r="A31" s="19" t="s">
        <v>68</v>
      </c>
      <c r="B31" s="78">
        <f>SUMIF(C3:C122,"Technology",U3:U122)</f>
        <v>0</v>
      </c>
      <c r="C31" s="78"/>
      <c r="D31" s="78"/>
      <c r="E31" s="78"/>
      <c r="F31" s="78"/>
      <c r="G31" s="78"/>
      <c r="H31" s="78"/>
      <c r="I31" s="78"/>
      <c r="J31" s="78"/>
      <c r="K31" s="79" t="s">
        <v>69</v>
      </c>
      <c r="L31" s="79"/>
      <c r="M31" s="79"/>
      <c r="N31" s="79"/>
      <c r="O31" s="79"/>
      <c r="P31" s="79"/>
      <c r="Q31" s="79"/>
      <c r="R31" s="79"/>
    </row>
    <row r="32" spans="1:18" ht="21.75" customHeight="1" x14ac:dyDescent="0.2">
      <c r="A32" s="20" t="s">
        <v>70</v>
      </c>
      <c r="B32" s="78">
        <f ca="1">SUMIFS(U3:U122,C3:C122,"Tech",K3:K122,"Jan")</f>
        <v>0</v>
      </c>
      <c r="C32" s="78"/>
      <c r="D32" s="78"/>
      <c r="E32" s="78"/>
      <c r="F32" s="78"/>
      <c r="G32" s="78"/>
      <c r="H32" s="78"/>
      <c r="I32" s="78"/>
      <c r="J32" s="78"/>
      <c r="K32" s="80" t="s">
        <v>71</v>
      </c>
      <c r="L32" s="80"/>
      <c r="M32" s="80"/>
      <c r="N32" s="80"/>
      <c r="O32" s="80"/>
      <c r="P32" s="80"/>
      <c r="Q32" s="80"/>
      <c r="R32" s="80"/>
    </row>
    <row r="33" spans="1:18" ht="21.75" customHeight="1" x14ac:dyDescent="0.2">
      <c r="A33" s="19" t="s">
        <v>72</v>
      </c>
      <c r="B33" s="78">
        <f>COUNTIFS(Z3:Z122,"&gt;="&amp;8.5,K3:K122,"Jan")</f>
        <v>0</v>
      </c>
      <c r="C33" s="78"/>
      <c r="D33" s="78"/>
      <c r="E33" s="78"/>
      <c r="F33" s="78"/>
      <c r="G33" s="78"/>
      <c r="H33" s="78"/>
      <c r="I33" s="78"/>
      <c r="J33" s="78"/>
      <c r="K33" s="79" t="s">
        <v>73</v>
      </c>
      <c r="L33" s="79"/>
      <c r="M33" s="79"/>
      <c r="N33" s="79"/>
      <c r="O33" s="79"/>
      <c r="P33" s="79"/>
      <c r="Q33" s="79"/>
      <c r="R33" s="79"/>
    </row>
    <row r="34" spans="1:18" ht="21.75" customHeight="1" x14ac:dyDescent="0.2">
      <c r="A34" s="20" t="s">
        <v>74</v>
      </c>
      <c r="B34" s="78" t="s">
        <v>75</v>
      </c>
      <c r="C34" s="78"/>
      <c r="D34" s="78"/>
      <c r="E34" s="78"/>
      <c r="F34" s="78"/>
      <c r="G34" s="78"/>
      <c r="H34" s="78"/>
      <c r="I34" s="78"/>
      <c r="J34" s="78"/>
      <c r="K34" s="80" t="s">
        <v>76</v>
      </c>
      <c r="L34" s="80"/>
      <c r="M34" s="80"/>
      <c r="N34" s="80"/>
      <c r="O34" s="80"/>
      <c r="P34" s="80"/>
      <c r="Q34" s="80"/>
      <c r="R34" s="80"/>
    </row>
    <row r="35" spans="1:18" ht="21.75" customHeight="1" x14ac:dyDescent="0.2">
      <c r="A35" s="19" t="s">
        <v>77</v>
      </c>
      <c r="B35" s="78" t="s">
        <v>78</v>
      </c>
      <c r="C35" s="78"/>
      <c r="D35" s="78"/>
      <c r="E35" s="78"/>
      <c r="F35" s="78"/>
      <c r="G35" s="78"/>
      <c r="H35" s="78"/>
      <c r="I35" s="78"/>
      <c r="J35" s="78"/>
      <c r="K35" s="79" t="s">
        <v>79</v>
      </c>
      <c r="L35" s="79"/>
      <c r="M35" s="79"/>
      <c r="N35" s="79"/>
      <c r="O35" s="79"/>
      <c r="P35" s="79"/>
      <c r="Q35" s="79"/>
      <c r="R35" s="79"/>
    </row>
    <row r="36" spans="1:18" ht="21.75" customHeight="1" x14ac:dyDescent="0.2">
      <c r="A36" s="20" t="s">
        <v>80</v>
      </c>
      <c r="B36" s="78" t="str">
        <f>IF(Z3&gt;=8.5,"Excellent",IF(Z3&gt;=7,"Good","Average"))</f>
        <v>Average</v>
      </c>
      <c r="C36" s="78"/>
      <c r="D36" s="78"/>
      <c r="E36" s="78"/>
      <c r="F36" s="78"/>
      <c r="G36" s="78"/>
      <c r="H36" s="78"/>
      <c r="I36" s="78"/>
      <c r="J36" s="78"/>
      <c r="K36" s="80" t="s">
        <v>81</v>
      </c>
      <c r="L36" s="80"/>
      <c r="M36" s="80"/>
      <c r="N36" s="80"/>
      <c r="O36" s="80"/>
      <c r="P36" s="80"/>
      <c r="Q36" s="80"/>
      <c r="R36" s="80"/>
    </row>
    <row r="37" spans="1:18" ht="21.75" customHeight="1" x14ac:dyDescent="0.2">
      <c r="A37" s="19" t="s">
        <v>82</v>
      </c>
      <c r="B37" s="78" t="s">
        <v>83</v>
      </c>
      <c r="C37" s="78"/>
      <c r="D37" s="78"/>
      <c r="E37" s="78"/>
      <c r="F37" s="78"/>
      <c r="G37" s="78"/>
      <c r="H37" s="78"/>
      <c r="I37" s="78"/>
      <c r="J37" s="78"/>
      <c r="K37" s="79" t="s">
        <v>84</v>
      </c>
      <c r="L37" s="79"/>
      <c r="M37" s="79"/>
      <c r="N37" s="79"/>
      <c r="O37" s="79"/>
      <c r="P37" s="79"/>
      <c r="Q37" s="79"/>
      <c r="R37" s="79"/>
    </row>
    <row r="38" spans="1:18" ht="21.75" customHeight="1" x14ac:dyDescent="0.2">
      <c r="A38" s="20" t="s">
        <v>85</v>
      </c>
      <c r="B38" s="78" t="s">
        <v>86</v>
      </c>
      <c r="C38" s="78"/>
      <c r="D38" s="78"/>
      <c r="E38" s="78"/>
      <c r="F38" s="78"/>
      <c r="G38" s="78"/>
      <c r="H38" s="78"/>
      <c r="I38" s="78"/>
      <c r="J38" s="78"/>
      <c r="K38" s="80" t="s">
        <v>87</v>
      </c>
      <c r="L38" s="80"/>
      <c r="M38" s="80"/>
      <c r="N38" s="80"/>
      <c r="O38" s="80"/>
      <c r="P38" s="80"/>
      <c r="Q38" s="80"/>
      <c r="R38" s="80"/>
    </row>
    <row r="39" spans="1:18" ht="21.75" customHeight="1" x14ac:dyDescent="0.2">
      <c r="A39" s="19" t="s">
        <v>88</v>
      </c>
      <c r="B39" s="78" t="s">
        <v>89</v>
      </c>
      <c r="C39" s="78"/>
      <c r="D39" s="78"/>
      <c r="E39" s="78"/>
      <c r="F39" s="78"/>
      <c r="G39" s="78"/>
      <c r="H39" s="78"/>
      <c r="I39" s="78"/>
      <c r="J39" s="78"/>
      <c r="K39" s="79" t="s">
        <v>90</v>
      </c>
      <c r="L39" s="79"/>
      <c r="M39" s="79"/>
      <c r="N39" s="79"/>
      <c r="O39" s="79"/>
      <c r="P39" s="79"/>
      <c r="Q39" s="79"/>
      <c r="R39" s="79"/>
    </row>
    <row r="40" spans="1:18" ht="21.75" customHeight="1" x14ac:dyDescent="0.2">
      <c r="A40" s="20" t="s">
        <v>26</v>
      </c>
      <c r="B40" s="78" t="s">
        <v>91</v>
      </c>
      <c r="C40" s="78"/>
      <c r="D40" s="78"/>
      <c r="E40" s="78"/>
      <c r="F40" s="78"/>
      <c r="G40" s="78"/>
      <c r="H40" s="78"/>
      <c r="I40" s="78"/>
      <c r="J40" s="78"/>
      <c r="K40" s="80" t="s">
        <v>92</v>
      </c>
      <c r="L40" s="80"/>
      <c r="M40" s="80"/>
      <c r="N40" s="80"/>
      <c r="O40" s="80"/>
      <c r="P40" s="80"/>
      <c r="Q40" s="80"/>
      <c r="R40" s="80"/>
    </row>
    <row r="41" spans="1:18" ht="19.5" customHeight="1" x14ac:dyDescent="0.2"/>
    <row r="42" spans="1:18" ht="19.5" customHeight="1" x14ac:dyDescent="0.2"/>
    <row r="43" spans="1:18" ht="19.5" customHeight="1" x14ac:dyDescent="0.2"/>
    <row r="44" spans="1:18" ht="19.5" customHeight="1" x14ac:dyDescent="0.2"/>
    <row r="45" spans="1:18" ht="19.5" customHeight="1" x14ac:dyDescent="0.2"/>
    <row r="46" spans="1:18" ht="19.5" customHeight="1" x14ac:dyDescent="0.2"/>
    <row r="47" spans="1:18" ht="19.5" customHeight="1" x14ac:dyDescent="0.2"/>
    <row r="48" spans="1:1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</sheetData>
  <mergeCells count="65">
    <mergeCell ref="B38:J38"/>
    <mergeCell ref="K38:R38"/>
    <mergeCell ref="B39:J39"/>
    <mergeCell ref="K39:R39"/>
    <mergeCell ref="B40:J40"/>
    <mergeCell ref="K40:R40"/>
    <mergeCell ref="B35:J35"/>
    <mergeCell ref="K35:R35"/>
    <mergeCell ref="B36:J36"/>
    <mergeCell ref="K36:R36"/>
    <mergeCell ref="B37:J37"/>
    <mergeCell ref="K37:R37"/>
    <mergeCell ref="B32:J32"/>
    <mergeCell ref="K32:R32"/>
    <mergeCell ref="B33:J33"/>
    <mergeCell ref="K33:R33"/>
    <mergeCell ref="B34:J34"/>
    <mergeCell ref="K34:R34"/>
    <mergeCell ref="A29:R29"/>
    <mergeCell ref="B30:J30"/>
    <mergeCell ref="K30:R30"/>
    <mergeCell ref="B31:J31"/>
    <mergeCell ref="K31:R31"/>
    <mergeCell ref="A24:C24"/>
    <mergeCell ref="D24:R24"/>
    <mergeCell ref="A25:C25"/>
    <mergeCell ref="D25:R25"/>
    <mergeCell ref="A26:C26"/>
    <mergeCell ref="D26:R26"/>
    <mergeCell ref="A21:C21"/>
    <mergeCell ref="D21:R21"/>
    <mergeCell ref="A22:C22"/>
    <mergeCell ref="D22:R22"/>
    <mergeCell ref="A23:C23"/>
    <mergeCell ref="D23:R23"/>
    <mergeCell ref="P8:R8"/>
    <mergeCell ref="A10:F10"/>
    <mergeCell ref="H10:M10"/>
    <mergeCell ref="O10:R10"/>
    <mergeCell ref="A20:R20"/>
    <mergeCell ref="A8:C8"/>
    <mergeCell ref="D8:F8"/>
    <mergeCell ref="G8:I8"/>
    <mergeCell ref="J8:L8"/>
    <mergeCell ref="M8:O8"/>
    <mergeCell ref="P5:R5"/>
    <mergeCell ref="A7:C7"/>
    <mergeCell ref="D7:F7"/>
    <mergeCell ref="G7:I7"/>
    <mergeCell ref="J7:L7"/>
    <mergeCell ref="M7:O7"/>
    <mergeCell ref="P7:R7"/>
    <mergeCell ref="A5:C5"/>
    <mergeCell ref="D5:F5"/>
    <mergeCell ref="G5:I5"/>
    <mergeCell ref="J5:L5"/>
    <mergeCell ref="M5:O5"/>
    <mergeCell ref="A1:R1"/>
    <mergeCell ref="A2:R2"/>
    <mergeCell ref="A4:C4"/>
    <mergeCell ref="D4:F4"/>
    <mergeCell ref="G4:I4"/>
    <mergeCell ref="J4:L4"/>
    <mergeCell ref="M4:O4"/>
    <mergeCell ref="P4:R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148C"/>
  </sheetPr>
  <dimension ref="A1:AE122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9.953125" style="1" customWidth="1"/>
    <col min="2" max="2" width="18.0234375" style="1" customWidth="1"/>
    <col min="3" max="3" width="13.046875" style="1" customWidth="1"/>
    <col min="4" max="4" width="18.0234375" style="1" customWidth="1"/>
    <col min="5" max="5" width="11.97265625" style="1" customWidth="1"/>
    <col min="6" max="6" width="7.93359375" style="1" customWidth="1"/>
    <col min="7" max="7" width="13.98828125" style="1" customWidth="1"/>
    <col min="8" max="8" width="16.0078125" style="1" customWidth="1"/>
    <col min="9" max="9" width="13.046875" style="1" customWidth="1"/>
    <col min="10" max="11" width="6.9921875" style="1" customWidth="1"/>
    <col min="12" max="14" width="11.97265625" style="1" customWidth="1"/>
    <col min="15" max="15" width="11.02734375" style="1" customWidth="1"/>
    <col min="16" max="16" width="9.953125" style="1" customWidth="1"/>
    <col min="17" max="17" width="11.97265625" style="1" customWidth="1"/>
    <col min="18" max="18" width="13.046875" style="1" customWidth="1"/>
    <col min="19" max="19" width="13.98828125" style="1" customWidth="1"/>
    <col min="20" max="20" width="11.97265625" style="1" customWidth="1"/>
    <col min="21" max="21" width="14.9296875" style="1" customWidth="1"/>
    <col min="22" max="22" width="13.046875" style="1" customWidth="1"/>
    <col min="23" max="23" width="13.98828125" style="1" customWidth="1"/>
    <col min="24" max="24" width="16.94921875" style="1" customWidth="1"/>
    <col min="25" max="25" width="16.0078125" style="1" customWidth="1"/>
    <col min="26" max="27" width="18.0234375" style="1" customWidth="1"/>
    <col min="28" max="28" width="11.97265625" style="1" customWidth="1"/>
    <col min="29" max="29" width="16.94921875" style="1" customWidth="1"/>
    <col min="30" max="30" width="16.0078125" style="1" customWidth="1"/>
    <col min="31" max="31" width="13.046875" style="1" customWidth="1"/>
  </cols>
  <sheetData>
    <row r="1" spans="1:31" ht="33.75" customHeight="1" x14ac:dyDescent="0.2">
      <c r="A1" s="81" t="s">
        <v>93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</row>
    <row r="2" spans="1:31" ht="30" customHeight="1" x14ac:dyDescent="0.2">
      <c r="A2" s="21" t="s">
        <v>94</v>
      </c>
      <c r="B2" s="21" t="s">
        <v>95</v>
      </c>
      <c r="C2" s="21" t="s">
        <v>17</v>
      </c>
      <c r="D2" s="21" t="s">
        <v>96</v>
      </c>
      <c r="E2" s="21" t="s">
        <v>97</v>
      </c>
      <c r="F2" s="21" t="s">
        <v>98</v>
      </c>
      <c r="G2" s="21" t="s">
        <v>99</v>
      </c>
      <c r="H2" s="21" t="s">
        <v>100</v>
      </c>
      <c r="I2" s="21" t="s">
        <v>101</v>
      </c>
      <c r="J2" s="21" t="s">
        <v>102</v>
      </c>
      <c r="K2" s="21" t="s">
        <v>23</v>
      </c>
      <c r="L2" s="21" t="s">
        <v>103</v>
      </c>
      <c r="M2" s="21" t="s">
        <v>104</v>
      </c>
      <c r="N2" s="21" t="s">
        <v>105</v>
      </c>
      <c r="O2" s="21" t="s">
        <v>106</v>
      </c>
      <c r="P2" s="21" t="s">
        <v>107</v>
      </c>
      <c r="Q2" s="21" t="s">
        <v>108</v>
      </c>
      <c r="R2" s="21" t="s">
        <v>109</v>
      </c>
      <c r="S2" s="21" t="s">
        <v>110</v>
      </c>
      <c r="T2" s="21" t="s">
        <v>111</v>
      </c>
      <c r="U2" s="21" t="s">
        <v>112</v>
      </c>
      <c r="V2" s="21" t="s">
        <v>113</v>
      </c>
      <c r="W2" s="21" t="s">
        <v>114</v>
      </c>
      <c r="X2" s="21" t="s">
        <v>115</v>
      </c>
      <c r="Y2" s="21" t="s">
        <v>116</v>
      </c>
      <c r="Z2" s="21" t="s">
        <v>117</v>
      </c>
      <c r="AA2" s="21" t="s">
        <v>118</v>
      </c>
      <c r="AB2" s="21" t="s">
        <v>119</v>
      </c>
      <c r="AC2" s="21" t="s">
        <v>120</v>
      </c>
      <c r="AD2" s="21" t="s">
        <v>121</v>
      </c>
      <c r="AE2" s="21" t="s">
        <v>122</v>
      </c>
    </row>
    <row r="3" spans="1:31" ht="18" customHeight="1" x14ac:dyDescent="0.2">
      <c r="A3" s="22" t="s">
        <v>123</v>
      </c>
      <c r="B3" s="22" t="s">
        <v>124</v>
      </c>
      <c r="C3" s="22" t="s">
        <v>125</v>
      </c>
      <c r="D3" s="22" t="s">
        <v>126</v>
      </c>
      <c r="E3" s="22" t="s">
        <v>127</v>
      </c>
      <c r="F3" s="22" t="s">
        <v>128</v>
      </c>
      <c r="G3" s="22" t="s">
        <v>129</v>
      </c>
      <c r="H3" s="22" t="s">
        <v>130</v>
      </c>
      <c r="I3" s="22" t="s">
        <v>131</v>
      </c>
      <c r="J3" s="22" t="s">
        <v>132</v>
      </c>
      <c r="K3" s="22" t="s">
        <v>32</v>
      </c>
      <c r="L3" s="22">
        <v>23</v>
      </c>
      <c r="M3" s="22">
        <v>22</v>
      </c>
      <c r="N3" s="22">
        <v>0</v>
      </c>
      <c r="O3" s="22">
        <v>1</v>
      </c>
      <c r="P3" s="22">
        <v>0</v>
      </c>
      <c r="Q3" s="23">
        <v>0.95650000000000002</v>
      </c>
      <c r="R3" s="22">
        <v>188.2</v>
      </c>
      <c r="S3" s="22">
        <v>4.9000000000000004</v>
      </c>
      <c r="T3" s="22">
        <v>19</v>
      </c>
      <c r="U3" s="22">
        <v>13</v>
      </c>
      <c r="V3" s="23">
        <v>0.68420000000000003</v>
      </c>
      <c r="W3" s="22">
        <v>3.97</v>
      </c>
      <c r="X3" s="22">
        <v>3.6</v>
      </c>
      <c r="Y3" s="22">
        <v>3.1</v>
      </c>
      <c r="Z3" s="22">
        <v>7.5</v>
      </c>
      <c r="AA3" s="22">
        <v>7.2</v>
      </c>
      <c r="AB3" s="24">
        <v>55000</v>
      </c>
      <c r="AC3" s="22" t="s">
        <v>133</v>
      </c>
      <c r="AD3" s="25" t="s">
        <v>134</v>
      </c>
      <c r="AE3" s="22" t="s">
        <v>135</v>
      </c>
    </row>
    <row r="4" spans="1:31" ht="18" customHeight="1" x14ac:dyDescent="0.2">
      <c r="A4" s="26" t="s">
        <v>123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  <c r="H4" s="26" t="s">
        <v>130</v>
      </c>
      <c r="I4" s="26" t="s">
        <v>131</v>
      </c>
      <c r="J4" s="26" t="s">
        <v>132</v>
      </c>
      <c r="K4" s="26" t="s">
        <v>36</v>
      </c>
      <c r="L4" s="26">
        <v>20</v>
      </c>
      <c r="M4" s="26">
        <v>15</v>
      </c>
      <c r="N4" s="26">
        <v>1</v>
      </c>
      <c r="O4" s="26">
        <v>4</v>
      </c>
      <c r="P4" s="26">
        <v>4</v>
      </c>
      <c r="Q4" s="27">
        <v>0.75</v>
      </c>
      <c r="R4" s="26">
        <v>128.1</v>
      </c>
      <c r="S4" s="26">
        <v>11.2</v>
      </c>
      <c r="T4" s="26">
        <v>35</v>
      </c>
      <c r="U4" s="26">
        <v>39</v>
      </c>
      <c r="V4" s="27">
        <v>1.1143000000000001</v>
      </c>
      <c r="W4" s="26">
        <v>3.63</v>
      </c>
      <c r="X4" s="26">
        <v>4.7</v>
      </c>
      <c r="Y4" s="26">
        <v>4.5</v>
      </c>
      <c r="Z4" s="26">
        <v>8.1</v>
      </c>
      <c r="AA4" s="26">
        <v>9.4</v>
      </c>
      <c r="AB4" s="28">
        <v>55000</v>
      </c>
      <c r="AC4" s="26" t="s">
        <v>136</v>
      </c>
      <c r="AD4" s="29" t="s">
        <v>137</v>
      </c>
      <c r="AE4" s="26" t="s">
        <v>135</v>
      </c>
    </row>
    <row r="5" spans="1:31" ht="18" customHeight="1" x14ac:dyDescent="0.2">
      <c r="A5" s="22" t="s">
        <v>123</v>
      </c>
      <c r="B5" s="22" t="s">
        <v>124</v>
      </c>
      <c r="C5" s="22" t="s">
        <v>125</v>
      </c>
      <c r="D5" s="22" t="s">
        <v>126</v>
      </c>
      <c r="E5" s="22" t="s">
        <v>127</v>
      </c>
      <c r="F5" s="22" t="s">
        <v>128</v>
      </c>
      <c r="G5" s="22" t="s">
        <v>129</v>
      </c>
      <c r="H5" s="22" t="s">
        <v>130</v>
      </c>
      <c r="I5" s="22" t="s">
        <v>131</v>
      </c>
      <c r="J5" s="22" t="s">
        <v>132</v>
      </c>
      <c r="K5" s="22" t="s">
        <v>40</v>
      </c>
      <c r="L5" s="22">
        <v>21</v>
      </c>
      <c r="M5" s="22">
        <v>16</v>
      </c>
      <c r="N5" s="22">
        <v>3</v>
      </c>
      <c r="O5" s="22">
        <v>2</v>
      </c>
      <c r="P5" s="22">
        <v>2</v>
      </c>
      <c r="Q5" s="23">
        <v>0.76190000000000002</v>
      </c>
      <c r="R5" s="22">
        <v>126.3</v>
      </c>
      <c r="S5" s="22">
        <v>4.3</v>
      </c>
      <c r="T5" s="22">
        <v>25</v>
      </c>
      <c r="U5" s="22">
        <v>17</v>
      </c>
      <c r="V5" s="23">
        <v>0.68</v>
      </c>
      <c r="W5" s="22">
        <v>3.67</v>
      </c>
      <c r="X5" s="22">
        <v>4</v>
      </c>
      <c r="Y5" s="22">
        <v>4.5999999999999996</v>
      </c>
      <c r="Z5" s="22">
        <v>7.7</v>
      </c>
      <c r="AA5" s="22">
        <v>8</v>
      </c>
      <c r="AB5" s="24">
        <v>55000</v>
      </c>
      <c r="AC5" s="22" t="s">
        <v>136</v>
      </c>
      <c r="AD5" s="29" t="s">
        <v>137</v>
      </c>
      <c r="AE5" s="22" t="s">
        <v>135</v>
      </c>
    </row>
    <row r="6" spans="1:31" ht="18" customHeight="1" x14ac:dyDescent="0.2">
      <c r="A6" s="26" t="s">
        <v>123</v>
      </c>
      <c r="B6" s="26" t="s">
        <v>124</v>
      </c>
      <c r="C6" s="26" t="s">
        <v>125</v>
      </c>
      <c r="D6" s="26" t="s">
        <v>126</v>
      </c>
      <c r="E6" s="26" t="s">
        <v>127</v>
      </c>
      <c r="F6" s="26" t="s">
        <v>128</v>
      </c>
      <c r="G6" s="26" t="s">
        <v>129</v>
      </c>
      <c r="H6" s="26" t="s">
        <v>130</v>
      </c>
      <c r="I6" s="26" t="s">
        <v>131</v>
      </c>
      <c r="J6" s="26" t="s">
        <v>132</v>
      </c>
      <c r="K6" s="26" t="s">
        <v>44</v>
      </c>
      <c r="L6" s="26">
        <v>22</v>
      </c>
      <c r="M6" s="26">
        <v>21</v>
      </c>
      <c r="N6" s="26">
        <v>1</v>
      </c>
      <c r="O6" s="26">
        <v>0</v>
      </c>
      <c r="P6" s="26">
        <v>4</v>
      </c>
      <c r="Q6" s="27">
        <v>0.95450000000000002</v>
      </c>
      <c r="R6" s="26">
        <v>161.69999999999999</v>
      </c>
      <c r="S6" s="26">
        <v>18.399999999999999</v>
      </c>
      <c r="T6" s="26">
        <v>17</v>
      </c>
      <c r="U6" s="26">
        <v>19</v>
      </c>
      <c r="V6" s="27">
        <v>1.1175999999999999</v>
      </c>
      <c r="W6" s="26">
        <v>4.2</v>
      </c>
      <c r="X6" s="26">
        <v>3.4</v>
      </c>
      <c r="Y6" s="26">
        <v>3.4</v>
      </c>
      <c r="Z6" s="26">
        <v>7.8</v>
      </c>
      <c r="AA6" s="26">
        <v>6.8</v>
      </c>
      <c r="AB6" s="28">
        <v>55000</v>
      </c>
      <c r="AC6" s="26" t="s">
        <v>133</v>
      </c>
      <c r="AD6" s="25" t="s">
        <v>134</v>
      </c>
      <c r="AE6" s="26" t="s">
        <v>135</v>
      </c>
    </row>
    <row r="7" spans="1:31" ht="18" customHeight="1" x14ac:dyDescent="0.2">
      <c r="A7" s="22" t="s">
        <v>123</v>
      </c>
      <c r="B7" s="22" t="s">
        <v>124</v>
      </c>
      <c r="C7" s="22" t="s">
        <v>125</v>
      </c>
      <c r="D7" s="22" t="s">
        <v>126</v>
      </c>
      <c r="E7" s="22" t="s">
        <v>127</v>
      </c>
      <c r="F7" s="22" t="s">
        <v>128</v>
      </c>
      <c r="G7" s="22" t="s">
        <v>129</v>
      </c>
      <c r="H7" s="22" t="s">
        <v>130</v>
      </c>
      <c r="I7" s="22" t="s">
        <v>131</v>
      </c>
      <c r="J7" s="22" t="s">
        <v>132</v>
      </c>
      <c r="K7" s="22" t="s">
        <v>48</v>
      </c>
      <c r="L7" s="22">
        <v>21</v>
      </c>
      <c r="M7" s="22">
        <v>15</v>
      </c>
      <c r="N7" s="22">
        <v>0</v>
      </c>
      <c r="O7" s="22">
        <v>6</v>
      </c>
      <c r="P7" s="22">
        <v>5</v>
      </c>
      <c r="Q7" s="23">
        <v>0.71430000000000005</v>
      </c>
      <c r="R7" s="22">
        <v>116.8</v>
      </c>
      <c r="S7" s="22">
        <v>5.8</v>
      </c>
      <c r="T7" s="22">
        <v>17</v>
      </c>
      <c r="U7" s="22">
        <v>14</v>
      </c>
      <c r="V7" s="23">
        <v>0.82350000000000001</v>
      </c>
      <c r="W7" s="22">
        <v>4.03</v>
      </c>
      <c r="X7" s="22">
        <v>4.5999999999999996</v>
      </c>
      <c r="Y7" s="22">
        <v>3.3</v>
      </c>
      <c r="Z7" s="22">
        <v>8.3000000000000007</v>
      </c>
      <c r="AA7" s="22">
        <v>9.1999999999999993</v>
      </c>
      <c r="AB7" s="24">
        <v>55000</v>
      </c>
      <c r="AC7" s="22" t="s">
        <v>136</v>
      </c>
      <c r="AD7" s="29" t="s">
        <v>137</v>
      </c>
      <c r="AE7" s="22" t="s">
        <v>135</v>
      </c>
    </row>
    <row r="8" spans="1:31" ht="18" customHeight="1" x14ac:dyDescent="0.2">
      <c r="A8" s="26" t="s">
        <v>123</v>
      </c>
      <c r="B8" s="26" t="s">
        <v>124</v>
      </c>
      <c r="C8" s="26" t="s">
        <v>125</v>
      </c>
      <c r="D8" s="26" t="s">
        <v>126</v>
      </c>
      <c r="E8" s="26" t="s">
        <v>127</v>
      </c>
      <c r="F8" s="26" t="s">
        <v>128</v>
      </c>
      <c r="G8" s="26" t="s">
        <v>129</v>
      </c>
      <c r="H8" s="26" t="s">
        <v>130</v>
      </c>
      <c r="I8" s="26" t="s">
        <v>131</v>
      </c>
      <c r="J8" s="26" t="s">
        <v>132</v>
      </c>
      <c r="K8" s="26" t="s">
        <v>50</v>
      </c>
      <c r="L8" s="26">
        <v>20</v>
      </c>
      <c r="M8" s="26">
        <v>16</v>
      </c>
      <c r="N8" s="26">
        <v>1</v>
      </c>
      <c r="O8" s="26">
        <v>3</v>
      </c>
      <c r="P8" s="26">
        <v>5</v>
      </c>
      <c r="Q8" s="27">
        <v>0.8</v>
      </c>
      <c r="R8" s="26">
        <v>126</v>
      </c>
      <c r="S8" s="26">
        <v>18.7</v>
      </c>
      <c r="T8" s="26">
        <v>35</v>
      </c>
      <c r="U8" s="26">
        <v>24</v>
      </c>
      <c r="V8" s="27">
        <v>0.68569999999999998</v>
      </c>
      <c r="W8" s="26">
        <v>3.93</v>
      </c>
      <c r="X8" s="26">
        <v>2.9</v>
      </c>
      <c r="Y8" s="26">
        <v>3.8</v>
      </c>
      <c r="Z8" s="26">
        <v>7.2</v>
      </c>
      <c r="AA8" s="26">
        <v>5.8</v>
      </c>
      <c r="AB8" s="28">
        <v>55000</v>
      </c>
      <c r="AC8" s="26" t="s">
        <v>136</v>
      </c>
      <c r="AD8" s="29" t="s">
        <v>137</v>
      </c>
      <c r="AE8" s="26" t="s">
        <v>135</v>
      </c>
    </row>
    <row r="9" spans="1:31" ht="18" customHeight="1" x14ac:dyDescent="0.2">
      <c r="A9" s="22" t="s">
        <v>138</v>
      </c>
      <c r="B9" s="22" t="s">
        <v>139</v>
      </c>
      <c r="C9" s="22" t="s">
        <v>125</v>
      </c>
      <c r="D9" s="22" t="s">
        <v>140</v>
      </c>
      <c r="E9" s="22" t="s">
        <v>141</v>
      </c>
      <c r="F9" s="22" t="s">
        <v>142</v>
      </c>
      <c r="G9" s="22" t="s">
        <v>143</v>
      </c>
      <c r="H9" s="22" t="s">
        <v>130</v>
      </c>
      <c r="I9" s="22" t="s">
        <v>131</v>
      </c>
      <c r="J9" s="22" t="s">
        <v>144</v>
      </c>
      <c r="K9" s="22" t="s">
        <v>32</v>
      </c>
      <c r="L9" s="22">
        <v>23</v>
      </c>
      <c r="M9" s="22">
        <v>22</v>
      </c>
      <c r="N9" s="22">
        <v>0</v>
      </c>
      <c r="O9" s="22">
        <v>1</v>
      </c>
      <c r="P9" s="22">
        <v>5</v>
      </c>
      <c r="Q9" s="23">
        <v>0.95650000000000002</v>
      </c>
      <c r="R9" s="22">
        <v>175.7</v>
      </c>
      <c r="S9" s="22">
        <v>15.4</v>
      </c>
      <c r="T9" s="22">
        <v>16</v>
      </c>
      <c r="U9" s="22">
        <v>13</v>
      </c>
      <c r="V9" s="23">
        <v>0.8125</v>
      </c>
      <c r="W9" s="22">
        <v>4.2300000000000004</v>
      </c>
      <c r="X9" s="22">
        <v>2.7</v>
      </c>
      <c r="Y9" s="22">
        <v>4.8</v>
      </c>
      <c r="Z9" s="22">
        <v>7.7</v>
      </c>
      <c r="AA9" s="22">
        <v>5.4</v>
      </c>
      <c r="AB9" s="24">
        <v>75000</v>
      </c>
      <c r="AC9" s="22" t="s">
        <v>133</v>
      </c>
      <c r="AD9" s="25" t="s">
        <v>134</v>
      </c>
      <c r="AE9" s="22" t="s">
        <v>135</v>
      </c>
    </row>
    <row r="10" spans="1:31" ht="18" customHeight="1" x14ac:dyDescent="0.2">
      <c r="A10" s="26" t="s">
        <v>138</v>
      </c>
      <c r="B10" s="26" t="s">
        <v>139</v>
      </c>
      <c r="C10" s="26" t="s">
        <v>125</v>
      </c>
      <c r="D10" s="26" t="s">
        <v>140</v>
      </c>
      <c r="E10" s="26" t="s">
        <v>141</v>
      </c>
      <c r="F10" s="26" t="s">
        <v>142</v>
      </c>
      <c r="G10" s="26" t="s">
        <v>143</v>
      </c>
      <c r="H10" s="26" t="s">
        <v>130</v>
      </c>
      <c r="I10" s="26" t="s">
        <v>131</v>
      </c>
      <c r="J10" s="26" t="s">
        <v>144</v>
      </c>
      <c r="K10" s="26" t="s">
        <v>36</v>
      </c>
      <c r="L10" s="26">
        <v>20</v>
      </c>
      <c r="M10" s="26">
        <v>18</v>
      </c>
      <c r="N10" s="26">
        <v>2</v>
      </c>
      <c r="O10" s="26">
        <v>0</v>
      </c>
      <c r="P10" s="26">
        <v>2</v>
      </c>
      <c r="Q10" s="27">
        <v>0.9</v>
      </c>
      <c r="R10" s="26">
        <v>140.4</v>
      </c>
      <c r="S10" s="26">
        <v>10</v>
      </c>
      <c r="T10" s="26">
        <v>35</v>
      </c>
      <c r="U10" s="26">
        <v>36</v>
      </c>
      <c r="V10" s="27">
        <v>1.0286</v>
      </c>
      <c r="W10" s="26">
        <v>3.67</v>
      </c>
      <c r="X10" s="26">
        <v>3.8</v>
      </c>
      <c r="Y10" s="26">
        <v>4.5</v>
      </c>
      <c r="Z10" s="26">
        <v>7.6</v>
      </c>
      <c r="AA10" s="26">
        <v>7.6</v>
      </c>
      <c r="AB10" s="28">
        <v>75000</v>
      </c>
      <c r="AC10" s="26" t="s">
        <v>133</v>
      </c>
      <c r="AD10" s="25" t="s">
        <v>134</v>
      </c>
      <c r="AE10" s="26" t="s">
        <v>135</v>
      </c>
    </row>
    <row r="11" spans="1:31" ht="18" customHeight="1" x14ac:dyDescent="0.2">
      <c r="A11" s="22" t="s">
        <v>138</v>
      </c>
      <c r="B11" s="22" t="s">
        <v>139</v>
      </c>
      <c r="C11" s="22" t="s">
        <v>125</v>
      </c>
      <c r="D11" s="22" t="s">
        <v>140</v>
      </c>
      <c r="E11" s="22" t="s">
        <v>141</v>
      </c>
      <c r="F11" s="22" t="s">
        <v>142</v>
      </c>
      <c r="G11" s="22" t="s">
        <v>143</v>
      </c>
      <c r="H11" s="22" t="s">
        <v>130</v>
      </c>
      <c r="I11" s="22" t="s">
        <v>131</v>
      </c>
      <c r="J11" s="22" t="s">
        <v>144</v>
      </c>
      <c r="K11" s="22" t="s">
        <v>40</v>
      </c>
      <c r="L11" s="22">
        <v>21</v>
      </c>
      <c r="M11" s="22">
        <v>18</v>
      </c>
      <c r="N11" s="22">
        <v>3</v>
      </c>
      <c r="O11" s="22">
        <v>0</v>
      </c>
      <c r="P11" s="22">
        <v>2</v>
      </c>
      <c r="Q11" s="23">
        <v>0.85709999999999997</v>
      </c>
      <c r="R11" s="22">
        <v>140.6</v>
      </c>
      <c r="S11" s="22">
        <v>20</v>
      </c>
      <c r="T11" s="22">
        <v>31</v>
      </c>
      <c r="U11" s="22">
        <v>35</v>
      </c>
      <c r="V11" s="23">
        <v>1.129</v>
      </c>
      <c r="W11" s="22">
        <v>3.03</v>
      </c>
      <c r="X11" s="22">
        <v>4.0999999999999996</v>
      </c>
      <c r="Y11" s="22">
        <v>4.5999999999999996</v>
      </c>
      <c r="Z11" s="22">
        <v>7</v>
      </c>
      <c r="AA11" s="22">
        <v>8.1999999999999993</v>
      </c>
      <c r="AB11" s="24">
        <v>75000</v>
      </c>
      <c r="AC11" s="22" t="s">
        <v>136</v>
      </c>
      <c r="AD11" s="25" t="s">
        <v>134</v>
      </c>
      <c r="AE11" s="22" t="s">
        <v>135</v>
      </c>
    </row>
    <row r="12" spans="1:31" ht="18" customHeight="1" x14ac:dyDescent="0.2">
      <c r="A12" s="26" t="s">
        <v>138</v>
      </c>
      <c r="B12" s="26" t="s">
        <v>139</v>
      </c>
      <c r="C12" s="26" t="s">
        <v>125</v>
      </c>
      <c r="D12" s="26" t="s">
        <v>140</v>
      </c>
      <c r="E12" s="26" t="s">
        <v>141</v>
      </c>
      <c r="F12" s="26" t="s">
        <v>142</v>
      </c>
      <c r="G12" s="26" t="s">
        <v>143</v>
      </c>
      <c r="H12" s="26" t="s">
        <v>130</v>
      </c>
      <c r="I12" s="26" t="s">
        <v>131</v>
      </c>
      <c r="J12" s="26" t="s">
        <v>144</v>
      </c>
      <c r="K12" s="26" t="s">
        <v>44</v>
      </c>
      <c r="L12" s="26">
        <v>22</v>
      </c>
      <c r="M12" s="26">
        <v>19</v>
      </c>
      <c r="N12" s="26">
        <v>0</v>
      </c>
      <c r="O12" s="26">
        <v>3</v>
      </c>
      <c r="P12" s="26">
        <v>3</v>
      </c>
      <c r="Q12" s="27">
        <v>0.86360000000000003</v>
      </c>
      <c r="R12" s="26">
        <v>153.4</v>
      </c>
      <c r="S12" s="26">
        <v>19.899999999999999</v>
      </c>
      <c r="T12" s="26">
        <v>31</v>
      </c>
      <c r="U12" s="26">
        <v>28</v>
      </c>
      <c r="V12" s="27">
        <v>0.9032</v>
      </c>
      <c r="W12" s="26">
        <v>4.03</v>
      </c>
      <c r="X12" s="26">
        <v>4.3</v>
      </c>
      <c r="Y12" s="26">
        <v>4.4000000000000004</v>
      </c>
      <c r="Z12" s="26">
        <v>8.3000000000000007</v>
      </c>
      <c r="AA12" s="26">
        <v>8.6</v>
      </c>
      <c r="AB12" s="28">
        <v>75000</v>
      </c>
      <c r="AC12" s="26" t="s">
        <v>133</v>
      </c>
      <c r="AD12" s="25" t="s">
        <v>134</v>
      </c>
      <c r="AE12" s="26" t="s">
        <v>135</v>
      </c>
    </row>
    <row r="13" spans="1:31" ht="18" customHeight="1" x14ac:dyDescent="0.2">
      <c r="A13" s="22" t="s">
        <v>138</v>
      </c>
      <c r="B13" s="22" t="s">
        <v>139</v>
      </c>
      <c r="C13" s="22" t="s">
        <v>125</v>
      </c>
      <c r="D13" s="22" t="s">
        <v>140</v>
      </c>
      <c r="E13" s="22" t="s">
        <v>141</v>
      </c>
      <c r="F13" s="22" t="s">
        <v>142</v>
      </c>
      <c r="G13" s="22" t="s">
        <v>143</v>
      </c>
      <c r="H13" s="22" t="s">
        <v>130</v>
      </c>
      <c r="I13" s="22" t="s">
        <v>131</v>
      </c>
      <c r="J13" s="22" t="s">
        <v>144</v>
      </c>
      <c r="K13" s="22" t="s">
        <v>48</v>
      </c>
      <c r="L13" s="22">
        <v>21</v>
      </c>
      <c r="M13" s="22">
        <v>19</v>
      </c>
      <c r="N13" s="22">
        <v>1</v>
      </c>
      <c r="O13" s="22">
        <v>1</v>
      </c>
      <c r="P13" s="22">
        <v>5</v>
      </c>
      <c r="Q13" s="23">
        <v>0.90480000000000005</v>
      </c>
      <c r="R13" s="22">
        <v>152.19999999999999</v>
      </c>
      <c r="S13" s="22">
        <v>5.9</v>
      </c>
      <c r="T13" s="22">
        <v>20</v>
      </c>
      <c r="U13" s="22">
        <v>20</v>
      </c>
      <c r="V13" s="23">
        <v>1</v>
      </c>
      <c r="W13" s="22">
        <v>3.9</v>
      </c>
      <c r="X13" s="22">
        <v>4.9000000000000004</v>
      </c>
      <c r="Y13" s="22">
        <v>4.5</v>
      </c>
      <c r="Z13" s="22">
        <v>8.5</v>
      </c>
      <c r="AA13" s="22">
        <v>9.8000000000000007</v>
      </c>
      <c r="AB13" s="24">
        <v>75000</v>
      </c>
      <c r="AC13" s="22" t="s">
        <v>133</v>
      </c>
      <c r="AD13" s="25" t="s">
        <v>134</v>
      </c>
      <c r="AE13" s="22" t="s">
        <v>145</v>
      </c>
    </row>
    <row r="14" spans="1:31" ht="18" customHeight="1" x14ac:dyDescent="0.2">
      <c r="A14" s="26" t="s">
        <v>138</v>
      </c>
      <c r="B14" s="26" t="s">
        <v>139</v>
      </c>
      <c r="C14" s="26" t="s">
        <v>125</v>
      </c>
      <c r="D14" s="26" t="s">
        <v>140</v>
      </c>
      <c r="E14" s="26" t="s">
        <v>141</v>
      </c>
      <c r="F14" s="26" t="s">
        <v>142</v>
      </c>
      <c r="G14" s="26" t="s">
        <v>143</v>
      </c>
      <c r="H14" s="26" t="s">
        <v>130</v>
      </c>
      <c r="I14" s="26" t="s">
        <v>131</v>
      </c>
      <c r="J14" s="26" t="s">
        <v>144</v>
      </c>
      <c r="K14" s="26" t="s">
        <v>50</v>
      </c>
      <c r="L14" s="26">
        <v>20</v>
      </c>
      <c r="M14" s="26">
        <v>18</v>
      </c>
      <c r="N14" s="26">
        <v>0</v>
      </c>
      <c r="O14" s="26">
        <v>2</v>
      </c>
      <c r="P14" s="26">
        <v>5</v>
      </c>
      <c r="Q14" s="27">
        <v>0.9</v>
      </c>
      <c r="R14" s="26">
        <v>143</v>
      </c>
      <c r="S14" s="26">
        <v>12.8</v>
      </c>
      <c r="T14" s="26">
        <v>34</v>
      </c>
      <c r="U14" s="26">
        <v>28</v>
      </c>
      <c r="V14" s="27">
        <v>0.82350000000000001</v>
      </c>
      <c r="W14" s="26">
        <v>3.87</v>
      </c>
      <c r="X14" s="26">
        <v>4.4000000000000004</v>
      </c>
      <c r="Y14" s="26">
        <v>4.0999999999999996</v>
      </c>
      <c r="Z14" s="26">
        <v>8.1</v>
      </c>
      <c r="AA14" s="26">
        <v>8.8000000000000007</v>
      </c>
      <c r="AB14" s="28">
        <v>75000</v>
      </c>
      <c r="AC14" s="26" t="s">
        <v>133</v>
      </c>
      <c r="AD14" s="25" t="s">
        <v>134</v>
      </c>
      <c r="AE14" s="26" t="s">
        <v>135</v>
      </c>
    </row>
    <row r="15" spans="1:31" ht="18" customHeight="1" x14ac:dyDescent="0.2">
      <c r="A15" s="22" t="s">
        <v>146</v>
      </c>
      <c r="B15" s="22" t="s">
        <v>147</v>
      </c>
      <c r="C15" s="22" t="s">
        <v>148</v>
      </c>
      <c r="D15" s="22" t="s">
        <v>149</v>
      </c>
      <c r="E15" s="22" t="s">
        <v>150</v>
      </c>
      <c r="F15" s="22" t="s">
        <v>128</v>
      </c>
      <c r="G15" s="22" t="s">
        <v>151</v>
      </c>
      <c r="H15" s="22" t="s">
        <v>152</v>
      </c>
      <c r="I15" s="22" t="s">
        <v>131</v>
      </c>
      <c r="J15" s="22" t="s">
        <v>153</v>
      </c>
      <c r="K15" s="22" t="s">
        <v>32</v>
      </c>
      <c r="L15" s="22">
        <v>23</v>
      </c>
      <c r="M15" s="22">
        <v>17</v>
      </c>
      <c r="N15" s="22">
        <v>2</v>
      </c>
      <c r="O15" s="22">
        <v>4</v>
      </c>
      <c r="P15" s="22">
        <v>3</v>
      </c>
      <c r="Q15" s="23">
        <v>0.73909999999999998</v>
      </c>
      <c r="R15" s="22">
        <v>126.6</v>
      </c>
      <c r="S15" s="22">
        <v>18.600000000000001</v>
      </c>
      <c r="T15" s="22">
        <v>24</v>
      </c>
      <c r="U15" s="22">
        <v>18</v>
      </c>
      <c r="V15" s="23">
        <v>0.75</v>
      </c>
      <c r="W15" s="22">
        <v>4.2699999999999996</v>
      </c>
      <c r="X15" s="22">
        <v>2.7</v>
      </c>
      <c r="Y15" s="22">
        <v>4</v>
      </c>
      <c r="Z15" s="22">
        <v>7.5</v>
      </c>
      <c r="AA15" s="22">
        <v>5.4</v>
      </c>
      <c r="AB15" s="24">
        <v>35000</v>
      </c>
      <c r="AC15" s="22" t="s">
        <v>136</v>
      </c>
      <c r="AD15" s="29" t="s">
        <v>137</v>
      </c>
      <c r="AE15" s="22" t="s">
        <v>135</v>
      </c>
    </row>
    <row r="16" spans="1:31" ht="18" customHeight="1" x14ac:dyDescent="0.2">
      <c r="A16" s="26" t="s">
        <v>146</v>
      </c>
      <c r="B16" s="26" t="s">
        <v>147</v>
      </c>
      <c r="C16" s="26" t="s">
        <v>148</v>
      </c>
      <c r="D16" s="26" t="s">
        <v>149</v>
      </c>
      <c r="E16" s="26" t="s">
        <v>150</v>
      </c>
      <c r="F16" s="26" t="s">
        <v>128</v>
      </c>
      <c r="G16" s="26" t="s">
        <v>151</v>
      </c>
      <c r="H16" s="26" t="s">
        <v>152</v>
      </c>
      <c r="I16" s="26" t="s">
        <v>131</v>
      </c>
      <c r="J16" s="26" t="s">
        <v>153</v>
      </c>
      <c r="K16" s="26" t="s">
        <v>36</v>
      </c>
      <c r="L16" s="26">
        <v>20</v>
      </c>
      <c r="M16" s="26">
        <v>14</v>
      </c>
      <c r="N16" s="26">
        <v>1</v>
      </c>
      <c r="O16" s="26">
        <v>5</v>
      </c>
      <c r="P16" s="26">
        <v>1</v>
      </c>
      <c r="Q16" s="27">
        <v>0.7</v>
      </c>
      <c r="R16" s="26">
        <v>121.8</v>
      </c>
      <c r="S16" s="26">
        <v>18.899999999999999</v>
      </c>
      <c r="T16" s="26">
        <v>20</v>
      </c>
      <c r="U16" s="26">
        <v>17</v>
      </c>
      <c r="V16" s="27">
        <v>0.85</v>
      </c>
      <c r="W16" s="26">
        <v>4.4000000000000004</v>
      </c>
      <c r="X16" s="26">
        <v>4.8</v>
      </c>
      <c r="Y16" s="26">
        <v>4.5</v>
      </c>
      <c r="Z16" s="26">
        <v>9.1</v>
      </c>
      <c r="AA16" s="26">
        <v>9.6</v>
      </c>
      <c r="AB16" s="28">
        <v>35000</v>
      </c>
      <c r="AC16" s="26" t="s">
        <v>136</v>
      </c>
      <c r="AD16" s="29" t="s">
        <v>137</v>
      </c>
      <c r="AE16" s="26" t="s">
        <v>145</v>
      </c>
    </row>
    <row r="17" spans="1:31" ht="18" customHeight="1" x14ac:dyDescent="0.2">
      <c r="A17" s="22" t="s">
        <v>146</v>
      </c>
      <c r="B17" s="22" t="s">
        <v>147</v>
      </c>
      <c r="C17" s="22" t="s">
        <v>148</v>
      </c>
      <c r="D17" s="22" t="s">
        <v>149</v>
      </c>
      <c r="E17" s="22" t="s">
        <v>150</v>
      </c>
      <c r="F17" s="22" t="s">
        <v>128</v>
      </c>
      <c r="G17" s="22" t="s">
        <v>151</v>
      </c>
      <c r="H17" s="22" t="s">
        <v>152</v>
      </c>
      <c r="I17" s="22" t="s">
        <v>131</v>
      </c>
      <c r="J17" s="22" t="s">
        <v>153</v>
      </c>
      <c r="K17" s="22" t="s">
        <v>40</v>
      </c>
      <c r="L17" s="22">
        <v>21</v>
      </c>
      <c r="M17" s="22">
        <v>20</v>
      </c>
      <c r="N17" s="22">
        <v>0</v>
      </c>
      <c r="O17" s="22">
        <v>1</v>
      </c>
      <c r="P17" s="22">
        <v>5</v>
      </c>
      <c r="Q17" s="23">
        <v>0.95240000000000002</v>
      </c>
      <c r="R17" s="22">
        <v>159.4</v>
      </c>
      <c r="S17" s="22">
        <v>19.899999999999999</v>
      </c>
      <c r="T17" s="22">
        <v>35</v>
      </c>
      <c r="U17" s="22">
        <v>33</v>
      </c>
      <c r="V17" s="23">
        <v>0.94289999999999996</v>
      </c>
      <c r="W17" s="22">
        <v>3.57</v>
      </c>
      <c r="X17" s="22">
        <v>3.1</v>
      </c>
      <c r="Y17" s="22">
        <v>3.7</v>
      </c>
      <c r="Z17" s="22">
        <v>6.9</v>
      </c>
      <c r="AA17" s="22">
        <v>6.2</v>
      </c>
      <c r="AB17" s="24">
        <v>35000</v>
      </c>
      <c r="AC17" s="22" t="s">
        <v>136</v>
      </c>
      <c r="AD17" s="25" t="s">
        <v>134</v>
      </c>
      <c r="AE17" s="22" t="s">
        <v>154</v>
      </c>
    </row>
    <row r="18" spans="1:31" ht="18" customHeight="1" x14ac:dyDescent="0.2">
      <c r="A18" s="26" t="s">
        <v>146</v>
      </c>
      <c r="B18" s="26" t="s">
        <v>147</v>
      </c>
      <c r="C18" s="26" t="s">
        <v>148</v>
      </c>
      <c r="D18" s="26" t="s">
        <v>149</v>
      </c>
      <c r="E18" s="26" t="s">
        <v>150</v>
      </c>
      <c r="F18" s="26" t="s">
        <v>128</v>
      </c>
      <c r="G18" s="26" t="s">
        <v>151</v>
      </c>
      <c r="H18" s="26" t="s">
        <v>152</v>
      </c>
      <c r="I18" s="26" t="s">
        <v>131</v>
      </c>
      <c r="J18" s="26" t="s">
        <v>153</v>
      </c>
      <c r="K18" s="26" t="s">
        <v>44</v>
      </c>
      <c r="L18" s="26">
        <v>22</v>
      </c>
      <c r="M18" s="26">
        <v>20</v>
      </c>
      <c r="N18" s="26">
        <v>2</v>
      </c>
      <c r="O18" s="26">
        <v>0</v>
      </c>
      <c r="P18" s="26">
        <v>1</v>
      </c>
      <c r="Q18" s="27">
        <v>0.90910000000000002</v>
      </c>
      <c r="R18" s="26">
        <v>167.7</v>
      </c>
      <c r="S18" s="26">
        <v>0.1</v>
      </c>
      <c r="T18" s="26">
        <v>35</v>
      </c>
      <c r="U18" s="26">
        <v>23</v>
      </c>
      <c r="V18" s="27">
        <v>0.65710000000000002</v>
      </c>
      <c r="W18" s="26">
        <v>4.3</v>
      </c>
      <c r="X18" s="26">
        <v>2.7</v>
      </c>
      <c r="Y18" s="26">
        <v>3.5</v>
      </c>
      <c r="Z18" s="26">
        <v>7.5</v>
      </c>
      <c r="AA18" s="26">
        <v>5.4</v>
      </c>
      <c r="AB18" s="28">
        <v>35000</v>
      </c>
      <c r="AC18" s="26" t="s">
        <v>133</v>
      </c>
      <c r="AD18" s="25" t="s">
        <v>134</v>
      </c>
      <c r="AE18" s="26" t="s">
        <v>135</v>
      </c>
    </row>
    <row r="19" spans="1:31" ht="18" customHeight="1" x14ac:dyDescent="0.2">
      <c r="A19" s="22" t="s">
        <v>146</v>
      </c>
      <c r="B19" s="22" t="s">
        <v>147</v>
      </c>
      <c r="C19" s="22" t="s">
        <v>148</v>
      </c>
      <c r="D19" s="22" t="s">
        <v>149</v>
      </c>
      <c r="E19" s="22" t="s">
        <v>150</v>
      </c>
      <c r="F19" s="22" t="s">
        <v>128</v>
      </c>
      <c r="G19" s="22" t="s">
        <v>151</v>
      </c>
      <c r="H19" s="22" t="s">
        <v>152</v>
      </c>
      <c r="I19" s="22" t="s">
        <v>131</v>
      </c>
      <c r="J19" s="22" t="s">
        <v>153</v>
      </c>
      <c r="K19" s="22" t="s">
        <v>48</v>
      </c>
      <c r="L19" s="22">
        <v>21</v>
      </c>
      <c r="M19" s="22">
        <v>20</v>
      </c>
      <c r="N19" s="22">
        <v>1</v>
      </c>
      <c r="O19" s="22">
        <v>0</v>
      </c>
      <c r="P19" s="22">
        <v>1</v>
      </c>
      <c r="Q19" s="23">
        <v>0.95240000000000002</v>
      </c>
      <c r="R19" s="22">
        <v>166.2</v>
      </c>
      <c r="S19" s="22">
        <v>14.5</v>
      </c>
      <c r="T19" s="22">
        <v>33</v>
      </c>
      <c r="U19" s="22">
        <v>36</v>
      </c>
      <c r="V19" s="23">
        <v>1.0909</v>
      </c>
      <c r="W19" s="22">
        <v>3.63</v>
      </c>
      <c r="X19" s="22">
        <v>2.7</v>
      </c>
      <c r="Y19" s="22">
        <v>4.3</v>
      </c>
      <c r="Z19" s="22">
        <v>6.8</v>
      </c>
      <c r="AA19" s="22">
        <v>5.4</v>
      </c>
      <c r="AB19" s="24">
        <v>35000</v>
      </c>
      <c r="AC19" s="22" t="s">
        <v>136</v>
      </c>
      <c r="AD19" s="25" t="s">
        <v>134</v>
      </c>
      <c r="AE19" s="22" t="s">
        <v>154</v>
      </c>
    </row>
    <row r="20" spans="1:31" ht="18" customHeight="1" x14ac:dyDescent="0.2">
      <c r="A20" s="26" t="s">
        <v>146</v>
      </c>
      <c r="B20" s="26" t="s">
        <v>147</v>
      </c>
      <c r="C20" s="26" t="s">
        <v>148</v>
      </c>
      <c r="D20" s="26" t="s">
        <v>149</v>
      </c>
      <c r="E20" s="26" t="s">
        <v>150</v>
      </c>
      <c r="F20" s="26" t="s">
        <v>128</v>
      </c>
      <c r="G20" s="26" t="s">
        <v>151</v>
      </c>
      <c r="H20" s="26" t="s">
        <v>152</v>
      </c>
      <c r="I20" s="26" t="s">
        <v>131</v>
      </c>
      <c r="J20" s="26" t="s">
        <v>153</v>
      </c>
      <c r="K20" s="26" t="s">
        <v>50</v>
      </c>
      <c r="L20" s="26">
        <v>20</v>
      </c>
      <c r="M20" s="26">
        <v>16</v>
      </c>
      <c r="N20" s="26">
        <v>3</v>
      </c>
      <c r="O20" s="26">
        <v>1</v>
      </c>
      <c r="P20" s="26">
        <v>3</v>
      </c>
      <c r="Q20" s="27">
        <v>0.8</v>
      </c>
      <c r="R20" s="26">
        <v>132</v>
      </c>
      <c r="S20" s="26">
        <v>14.6</v>
      </c>
      <c r="T20" s="26">
        <v>35</v>
      </c>
      <c r="U20" s="26">
        <v>25</v>
      </c>
      <c r="V20" s="27">
        <v>0.71430000000000005</v>
      </c>
      <c r="W20" s="26">
        <v>4.03</v>
      </c>
      <c r="X20" s="26">
        <v>2.8</v>
      </c>
      <c r="Y20" s="26">
        <v>3.4</v>
      </c>
      <c r="Z20" s="26">
        <v>7.2</v>
      </c>
      <c r="AA20" s="26">
        <v>5.6</v>
      </c>
      <c r="AB20" s="28">
        <v>35000</v>
      </c>
      <c r="AC20" s="26" t="s">
        <v>136</v>
      </c>
      <c r="AD20" s="29" t="s">
        <v>137</v>
      </c>
      <c r="AE20" s="26" t="s">
        <v>135</v>
      </c>
    </row>
    <row r="21" spans="1:31" ht="18" customHeight="1" x14ac:dyDescent="0.2">
      <c r="A21" s="22" t="s">
        <v>155</v>
      </c>
      <c r="B21" s="22" t="s">
        <v>156</v>
      </c>
      <c r="C21" s="22" t="s">
        <v>157</v>
      </c>
      <c r="D21" s="22" t="s">
        <v>158</v>
      </c>
      <c r="E21" s="22" t="s">
        <v>127</v>
      </c>
      <c r="F21" s="22" t="s">
        <v>142</v>
      </c>
      <c r="G21" s="22" t="s">
        <v>159</v>
      </c>
      <c r="H21" s="22" t="s">
        <v>160</v>
      </c>
      <c r="I21" s="22" t="s">
        <v>131</v>
      </c>
      <c r="J21" s="22" t="s">
        <v>132</v>
      </c>
      <c r="K21" s="22" t="s">
        <v>32</v>
      </c>
      <c r="L21" s="22">
        <v>23</v>
      </c>
      <c r="M21" s="22">
        <v>21</v>
      </c>
      <c r="N21" s="22">
        <v>1</v>
      </c>
      <c r="O21" s="22">
        <v>1</v>
      </c>
      <c r="P21" s="22">
        <v>1</v>
      </c>
      <c r="Q21" s="23">
        <v>0.91300000000000003</v>
      </c>
      <c r="R21" s="22">
        <v>170.7</v>
      </c>
      <c r="S21" s="22">
        <v>5.6</v>
      </c>
      <c r="T21" s="22">
        <v>22</v>
      </c>
      <c r="U21" s="22">
        <v>15</v>
      </c>
      <c r="V21" s="23">
        <v>0.68179999999999996</v>
      </c>
      <c r="W21" s="22">
        <v>4.17</v>
      </c>
      <c r="X21" s="22">
        <v>2.6</v>
      </c>
      <c r="Y21" s="22">
        <v>5</v>
      </c>
      <c r="Z21" s="22">
        <v>7.6</v>
      </c>
      <c r="AA21" s="22">
        <v>5.2</v>
      </c>
      <c r="AB21" s="24">
        <v>55000</v>
      </c>
      <c r="AC21" s="22" t="s">
        <v>133</v>
      </c>
      <c r="AD21" s="25" t="s">
        <v>134</v>
      </c>
      <c r="AE21" s="22" t="s">
        <v>135</v>
      </c>
    </row>
    <row r="22" spans="1:31" ht="18" customHeight="1" x14ac:dyDescent="0.2">
      <c r="A22" s="26" t="s">
        <v>155</v>
      </c>
      <c r="B22" s="26" t="s">
        <v>156</v>
      </c>
      <c r="C22" s="26" t="s">
        <v>157</v>
      </c>
      <c r="D22" s="26" t="s">
        <v>158</v>
      </c>
      <c r="E22" s="26" t="s">
        <v>127</v>
      </c>
      <c r="F22" s="26" t="s">
        <v>142</v>
      </c>
      <c r="G22" s="26" t="s">
        <v>159</v>
      </c>
      <c r="H22" s="26" t="s">
        <v>160</v>
      </c>
      <c r="I22" s="26" t="s">
        <v>131</v>
      </c>
      <c r="J22" s="26" t="s">
        <v>132</v>
      </c>
      <c r="K22" s="26" t="s">
        <v>36</v>
      </c>
      <c r="L22" s="26">
        <v>20</v>
      </c>
      <c r="M22" s="26">
        <v>20</v>
      </c>
      <c r="N22" s="26">
        <v>0</v>
      </c>
      <c r="O22" s="26">
        <v>0</v>
      </c>
      <c r="P22" s="26">
        <v>0</v>
      </c>
      <c r="Q22" s="27">
        <v>1</v>
      </c>
      <c r="R22" s="26">
        <v>177.8</v>
      </c>
      <c r="S22" s="26">
        <v>17</v>
      </c>
      <c r="T22" s="26">
        <v>20</v>
      </c>
      <c r="U22" s="26">
        <v>19</v>
      </c>
      <c r="V22" s="27">
        <v>0.95</v>
      </c>
      <c r="W22" s="26">
        <v>3.63</v>
      </c>
      <c r="X22" s="26">
        <v>2.6</v>
      </c>
      <c r="Y22" s="26">
        <v>3.8</v>
      </c>
      <c r="Z22" s="26">
        <v>6.7</v>
      </c>
      <c r="AA22" s="26">
        <v>5.2</v>
      </c>
      <c r="AB22" s="28">
        <v>55000</v>
      </c>
      <c r="AC22" s="26" t="s">
        <v>136</v>
      </c>
      <c r="AD22" s="25" t="s">
        <v>134</v>
      </c>
      <c r="AE22" s="26" t="s">
        <v>154</v>
      </c>
    </row>
    <row r="23" spans="1:31" ht="18" customHeight="1" x14ac:dyDescent="0.2">
      <c r="A23" s="22" t="s">
        <v>155</v>
      </c>
      <c r="B23" s="22" t="s">
        <v>156</v>
      </c>
      <c r="C23" s="22" t="s">
        <v>157</v>
      </c>
      <c r="D23" s="22" t="s">
        <v>158</v>
      </c>
      <c r="E23" s="22" t="s">
        <v>127</v>
      </c>
      <c r="F23" s="22" t="s">
        <v>142</v>
      </c>
      <c r="G23" s="22" t="s">
        <v>159</v>
      </c>
      <c r="H23" s="22" t="s">
        <v>160</v>
      </c>
      <c r="I23" s="22" t="s">
        <v>131</v>
      </c>
      <c r="J23" s="22" t="s">
        <v>132</v>
      </c>
      <c r="K23" s="22" t="s">
        <v>40</v>
      </c>
      <c r="L23" s="22">
        <v>21</v>
      </c>
      <c r="M23" s="22">
        <v>18</v>
      </c>
      <c r="N23" s="22">
        <v>2</v>
      </c>
      <c r="O23" s="22">
        <v>1</v>
      </c>
      <c r="P23" s="22">
        <v>3</v>
      </c>
      <c r="Q23" s="23">
        <v>0.85709999999999997</v>
      </c>
      <c r="R23" s="22">
        <v>142.6</v>
      </c>
      <c r="S23" s="22">
        <v>13.9</v>
      </c>
      <c r="T23" s="22">
        <v>32</v>
      </c>
      <c r="U23" s="22">
        <v>35</v>
      </c>
      <c r="V23" s="23">
        <v>1.0938000000000001</v>
      </c>
      <c r="W23" s="22">
        <v>3.93</v>
      </c>
      <c r="X23" s="22">
        <v>3.9</v>
      </c>
      <c r="Y23" s="22">
        <v>4.0999999999999996</v>
      </c>
      <c r="Z23" s="22">
        <v>7.9</v>
      </c>
      <c r="AA23" s="22">
        <v>7.8</v>
      </c>
      <c r="AB23" s="24">
        <v>55000</v>
      </c>
      <c r="AC23" s="22" t="s">
        <v>133</v>
      </c>
      <c r="AD23" s="25" t="s">
        <v>134</v>
      </c>
      <c r="AE23" s="22" t="s">
        <v>135</v>
      </c>
    </row>
    <row r="24" spans="1:31" ht="18" customHeight="1" x14ac:dyDescent="0.2">
      <c r="A24" s="26" t="s">
        <v>155</v>
      </c>
      <c r="B24" s="26" t="s">
        <v>156</v>
      </c>
      <c r="C24" s="26" t="s">
        <v>157</v>
      </c>
      <c r="D24" s="26" t="s">
        <v>158</v>
      </c>
      <c r="E24" s="26" t="s">
        <v>127</v>
      </c>
      <c r="F24" s="26" t="s">
        <v>142</v>
      </c>
      <c r="G24" s="26" t="s">
        <v>159</v>
      </c>
      <c r="H24" s="26" t="s">
        <v>160</v>
      </c>
      <c r="I24" s="26" t="s">
        <v>131</v>
      </c>
      <c r="J24" s="26" t="s">
        <v>132</v>
      </c>
      <c r="K24" s="26" t="s">
        <v>44</v>
      </c>
      <c r="L24" s="26">
        <v>22</v>
      </c>
      <c r="M24" s="26">
        <v>21</v>
      </c>
      <c r="N24" s="26">
        <v>1</v>
      </c>
      <c r="O24" s="26">
        <v>0</v>
      </c>
      <c r="P24" s="26">
        <v>0</v>
      </c>
      <c r="Q24" s="27">
        <v>0.95450000000000002</v>
      </c>
      <c r="R24" s="26">
        <v>159.5</v>
      </c>
      <c r="S24" s="26">
        <v>9.5</v>
      </c>
      <c r="T24" s="26">
        <v>31</v>
      </c>
      <c r="U24" s="26">
        <v>25</v>
      </c>
      <c r="V24" s="27">
        <v>0.80649999999999999</v>
      </c>
      <c r="W24" s="26">
        <v>3.9</v>
      </c>
      <c r="X24" s="26">
        <v>2.7</v>
      </c>
      <c r="Y24" s="26">
        <v>3.1</v>
      </c>
      <c r="Z24" s="26">
        <v>6.9</v>
      </c>
      <c r="AA24" s="26">
        <v>5.4</v>
      </c>
      <c r="AB24" s="28">
        <v>55000</v>
      </c>
      <c r="AC24" s="26" t="s">
        <v>136</v>
      </c>
      <c r="AD24" s="25" t="s">
        <v>134</v>
      </c>
      <c r="AE24" s="26" t="s">
        <v>154</v>
      </c>
    </row>
    <row r="25" spans="1:31" ht="18" customHeight="1" x14ac:dyDescent="0.2">
      <c r="A25" s="22" t="s">
        <v>155</v>
      </c>
      <c r="B25" s="22" t="s">
        <v>156</v>
      </c>
      <c r="C25" s="22" t="s">
        <v>157</v>
      </c>
      <c r="D25" s="22" t="s">
        <v>158</v>
      </c>
      <c r="E25" s="22" t="s">
        <v>127</v>
      </c>
      <c r="F25" s="22" t="s">
        <v>142</v>
      </c>
      <c r="G25" s="22" t="s">
        <v>159</v>
      </c>
      <c r="H25" s="22" t="s">
        <v>160</v>
      </c>
      <c r="I25" s="22" t="s">
        <v>131</v>
      </c>
      <c r="J25" s="22" t="s">
        <v>132</v>
      </c>
      <c r="K25" s="22" t="s">
        <v>48</v>
      </c>
      <c r="L25" s="22">
        <v>21</v>
      </c>
      <c r="M25" s="22">
        <v>21</v>
      </c>
      <c r="N25" s="22">
        <v>0</v>
      </c>
      <c r="O25" s="22">
        <v>0</v>
      </c>
      <c r="P25" s="22">
        <v>3</v>
      </c>
      <c r="Q25" s="23">
        <v>1</v>
      </c>
      <c r="R25" s="22">
        <v>161.6</v>
      </c>
      <c r="S25" s="22">
        <v>17.8</v>
      </c>
      <c r="T25" s="22">
        <v>22</v>
      </c>
      <c r="U25" s="22">
        <v>23</v>
      </c>
      <c r="V25" s="23">
        <v>1.0455000000000001</v>
      </c>
      <c r="W25" s="22">
        <v>3.97</v>
      </c>
      <c r="X25" s="22">
        <v>4</v>
      </c>
      <c r="Y25" s="22">
        <v>4</v>
      </c>
      <c r="Z25" s="22">
        <v>8</v>
      </c>
      <c r="AA25" s="22">
        <v>8</v>
      </c>
      <c r="AB25" s="24">
        <v>55000</v>
      </c>
      <c r="AC25" s="22" t="s">
        <v>133</v>
      </c>
      <c r="AD25" s="25" t="s">
        <v>134</v>
      </c>
      <c r="AE25" s="22" t="s">
        <v>135</v>
      </c>
    </row>
    <row r="26" spans="1:31" ht="18" customHeight="1" x14ac:dyDescent="0.2">
      <c r="A26" s="26" t="s">
        <v>155</v>
      </c>
      <c r="B26" s="26" t="s">
        <v>156</v>
      </c>
      <c r="C26" s="26" t="s">
        <v>157</v>
      </c>
      <c r="D26" s="26" t="s">
        <v>158</v>
      </c>
      <c r="E26" s="26" t="s">
        <v>127</v>
      </c>
      <c r="F26" s="26" t="s">
        <v>142</v>
      </c>
      <c r="G26" s="26" t="s">
        <v>159</v>
      </c>
      <c r="H26" s="26" t="s">
        <v>160</v>
      </c>
      <c r="I26" s="26" t="s">
        <v>131</v>
      </c>
      <c r="J26" s="26" t="s">
        <v>132</v>
      </c>
      <c r="K26" s="26" t="s">
        <v>50</v>
      </c>
      <c r="L26" s="26">
        <v>20</v>
      </c>
      <c r="M26" s="26">
        <v>16</v>
      </c>
      <c r="N26" s="26">
        <v>1</v>
      </c>
      <c r="O26" s="26">
        <v>3</v>
      </c>
      <c r="P26" s="26">
        <v>5</v>
      </c>
      <c r="Q26" s="27">
        <v>0.8</v>
      </c>
      <c r="R26" s="26">
        <v>139.5</v>
      </c>
      <c r="S26" s="26">
        <v>4.8</v>
      </c>
      <c r="T26" s="26">
        <v>27</v>
      </c>
      <c r="U26" s="26">
        <v>19</v>
      </c>
      <c r="V26" s="27">
        <v>0.70369999999999999</v>
      </c>
      <c r="W26" s="26">
        <v>3.73</v>
      </c>
      <c r="X26" s="26">
        <v>4.4000000000000004</v>
      </c>
      <c r="Y26" s="26">
        <v>3.1</v>
      </c>
      <c r="Z26" s="26">
        <v>7.7</v>
      </c>
      <c r="AA26" s="26">
        <v>8.8000000000000007</v>
      </c>
      <c r="AB26" s="28">
        <v>55000</v>
      </c>
      <c r="AC26" s="26" t="s">
        <v>136</v>
      </c>
      <c r="AD26" s="29" t="s">
        <v>137</v>
      </c>
      <c r="AE26" s="26" t="s">
        <v>135</v>
      </c>
    </row>
    <row r="27" spans="1:31" ht="18" customHeight="1" x14ac:dyDescent="0.2">
      <c r="A27" s="22" t="s">
        <v>161</v>
      </c>
      <c r="B27" s="22" t="s">
        <v>162</v>
      </c>
      <c r="C27" s="22" t="s">
        <v>163</v>
      </c>
      <c r="D27" s="22" t="s">
        <v>164</v>
      </c>
      <c r="E27" s="22" t="s">
        <v>165</v>
      </c>
      <c r="F27" s="22" t="s">
        <v>128</v>
      </c>
      <c r="G27" s="22" t="s">
        <v>166</v>
      </c>
      <c r="H27" s="22" t="s">
        <v>167</v>
      </c>
      <c r="I27" s="22" t="s">
        <v>131</v>
      </c>
      <c r="J27" s="22" t="s">
        <v>168</v>
      </c>
      <c r="K27" s="22" t="s">
        <v>32</v>
      </c>
      <c r="L27" s="22">
        <v>23</v>
      </c>
      <c r="M27" s="22">
        <v>20</v>
      </c>
      <c r="N27" s="22">
        <v>0</v>
      </c>
      <c r="O27" s="22">
        <v>3</v>
      </c>
      <c r="P27" s="22">
        <v>0</v>
      </c>
      <c r="Q27" s="23">
        <v>0.86960000000000004</v>
      </c>
      <c r="R27" s="22">
        <v>166.1</v>
      </c>
      <c r="S27" s="22">
        <v>10.1</v>
      </c>
      <c r="T27" s="22">
        <v>19</v>
      </c>
      <c r="U27" s="22">
        <v>17</v>
      </c>
      <c r="V27" s="23">
        <v>0.89470000000000005</v>
      </c>
      <c r="W27" s="22">
        <v>4.33</v>
      </c>
      <c r="X27" s="22">
        <v>2.9</v>
      </c>
      <c r="Y27" s="22">
        <v>4.7</v>
      </c>
      <c r="Z27" s="22">
        <v>7.9</v>
      </c>
      <c r="AA27" s="22">
        <v>5.8</v>
      </c>
      <c r="AB27" s="24">
        <v>95000</v>
      </c>
      <c r="AC27" s="22" t="s">
        <v>133</v>
      </c>
      <c r="AD27" s="25" t="s">
        <v>134</v>
      </c>
      <c r="AE27" s="22" t="s">
        <v>135</v>
      </c>
    </row>
    <row r="28" spans="1:31" ht="18" customHeight="1" x14ac:dyDescent="0.2">
      <c r="A28" s="26" t="s">
        <v>161</v>
      </c>
      <c r="B28" s="26" t="s">
        <v>162</v>
      </c>
      <c r="C28" s="26" t="s">
        <v>163</v>
      </c>
      <c r="D28" s="26" t="s">
        <v>164</v>
      </c>
      <c r="E28" s="26" t="s">
        <v>165</v>
      </c>
      <c r="F28" s="26" t="s">
        <v>128</v>
      </c>
      <c r="G28" s="26" t="s">
        <v>166</v>
      </c>
      <c r="H28" s="26" t="s">
        <v>167</v>
      </c>
      <c r="I28" s="26" t="s">
        <v>131</v>
      </c>
      <c r="J28" s="26" t="s">
        <v>168</v>
      </c>
      <c r="K28" s="26" t="s">
        <v>36</v>
      </c>
      <c r="L28" s="26">
        <v>20</v>
      </c>
      <c r="M28" s="26">
        <v>19</v>
      </c>
      <c r="N28" s="26">
        <v>1</v>
      </c>
      <c r="O28" s="26">
        <v>0</v>
      </c>
      <c r="P28" s="26">
        <v>4</v>
      </c>
      <c r="Q28" s="27">
        <v>0.95</v>
      </c>
      <c r="R28" s="26">
        <v>171.5</v>
      </c>
      <c r="S28" s="26">
        <v>16.100000000000001</v>
      </c>
      <c r="T28" s="26">
        <v>31</v>
      </c>
      <c r="U28" s="26">
        <v>20</v>
      </c>
      <c r="V28" s="27">
        <v>0.6452</v>
      </c>
      <c r="W28" s="26">
        <v>4.4000000000000004</v>
      </c>
      <c r="X28" s="26">
        <v>2.8</v>
      </c>
      <c r="Y28" s="26">
        <v>4.8</v>
      </c>
      <c r="Z28" s="26">
        <v>7.9</v>
      </c>
      <c r="AA28" s="26">
        <v>5.6</v>
      </c>
      <c r="AB28" s="28">
        <v>95000</v>
      </c>
      <c r="AC28" s="26" t="s">
        <v>133</v>
      </c>
      <c r="AD28" s="25" t="s">
        <v>134</v>
      </c>
      <c r="AE28" s="26" t="s">
        <v>135</v>
      </c>
    </row>
    <row r="29" spans="1:31" ht="18" customHeight="1" x14ac:dyDescent="0.2">
      <c r="A29" s="22" t="s">
        <v>161</v>
      </c>
      <c r="B29" s="22" t="s">
        <v>162</v>
      </c>
      <c r="C29" s="22" t="s">
        <v>163</v>
      </c>
      <c r="D29" s="22" t="s">
        <v>164</v>
      </c>
      <c r="E29" s="22" t="s">
        <v>165</v>
      </c>
      <c r="F29" s="22" t="s">
        <v>128</v>
      </c>
      <c r="G29" s="22" t="s">
        <v>166</v>
      </c>
      <c r="H29" s="22" t="s">
        <v>167</v>
      </c>
      <c r="I29" s="22" t="s">
        <v>131</v>
      </c>
      <c r="J29" s="22" t="s">
        <v>168</v>
      </c>
      <c r="K29" s="22" t="s">
        <v>40</v>
      </c>
      <c r="L29" s="22">
        <v>21</v>
      </c>
      <c r="M29" s="22">
        <v>17</v>
      </c>
      <c r="N29" s="22">
        <v>0</v>
      </c>
      <c r="O29" s="22">
        <v>4</v>
      </c>
      <c r="P29" s="22">
        <v>0</v>
      </c>
      <c r="Q29" s="23">
        <v>0.8095</v>
      </c>
      <c r="R29" s="22">
        <v>148.30000000000001</v>
      </c>
      <c r="S29" s="22">
        <v>3.1</v>
      </c>
      <c r="T29" s="22">
        <v>24</v>
      </c>
      <c r="U29" s="22">
        <v>24</v>
      </c>
      <c r="V29" s="23">
        <v>1</v>
      </c>
      <c r="W29" s="22">
        <v>3.77</v>
      </c>
      <c r="X29" s="22">
        <v>4.5999999999999996</v>
      </c>
      <c r="Y29" s="22">
        <v>4</v>
      </c>
      <c r="Z29" s="22">
        <v>8.1</v>
      </c>
      <c r="AA29" s="22">
        <v>9.1999999999999993</v>
      </c>
      <c r="AB29" s="24">
        <v>95000</v>
      </c>
      <c r="AC29" s="22" t="s">
        <v>136</v>
      </c>
      <c r="AD29" s="29" t="s">
        <v>137</v>
      </c>
      <c r="AE29" s="22" t="s">
        <v>135</v>
      </c>
    </row>
    <row r="30" spans="1:31" ht="18" customHeight="1" x14ac:dyDescent="0.2">
      <c r="A30" s="26" t="s">
        <v>161</v>
      </c>
      <c r="B30" s="26" t="s">
        <v>162</v>
      </c>
      <c r="C30" s="26" t="s">
        <v>163</v>
      </c>
      <c r="D30" s="26" t="s">
        <v>164</v>
      </c>
      <c r="E30" s="26" t="s">
        <v>165</v>
      </c>
      <c r="F30" s="26" t="s">
        <v>128</v>
      </c>
      <c r="G30" s="26" t="s">
        <v>166</v>
      </c>
      <c r="H30" s="26" t="s">
        <v>167</v>
      </c>
      <c r="I30" s="26" t="s">
        <v>131</v>
      </c>
      <c r="J30" s="26" t="s">
        <v>168</v>
      </c>
      <c r="K30" s="26" t="s">
        <v>44</v>
      </c>
      <c r="L30" s="26">
        <v>22</v>
      </c>
      <c r="M30" s="26">
        <v>18</v>
      </c>
      <c r="N30" s="26">
        <v>0</v>
      </c>
      <c r="O30" s="26">
        <v>4</v>
      </c>
      <c r="P30" s="26">
        <v>0</v>
      </c>
      <c r="Q30" s="27">
        <v>0.81820000000000004</v>
      </c>
      <c r="R30" s="26">
        <v>153</v>
      </c>
      <c r="S30" s="26">
        <v>16.600000000000001</v>
      </c>
      <c r="T30" s="26">
        <v>16</v>
      </c>
      <c r="U30" s="26">
        <v>10</v>
      </c>
      <c r="V30" s="27">
        <v>0.625</v>
      </c>
      <c r="W30" s="26">
        <v>3.97</v>
      </c>
      <c r="X30" s="26">
        <v>2.9</v>
      </c>
      <c r="Y30" s="26">
        <v>3.9</v>
      </c>
      <c r="Z30" s="26">
        <v>7.3</v>
      </c>
      <c r="AA30" s="26">
        <v>5.8</v>
      </c>
      <c r="AB30" s="28">
        <v>95000</v>
      </c>
      <c r="AC30" s="26" t="s">
        <v>136</v>
      </c>
      <c r="AD30" s="29" t="s">
        <v>137</v>
      </c>
      <c r="AE30" s="26" t="s">
        <v>135</v>
      </c>
    </row>
    <row r="31" spans="1:31" ht="18" customHeight="1" x14ac:dyDescent="0.2">
      <c r="A31" s="22" t="s">
        <v>161</v>
      </c>
      <c r="B31" s="22" t="s">
        <v>162</v>
      </c>
      <c r="C31" s="22" t="s">
        <v>163</v>
      </c>
      <c r="D31" s="22" t="s">
        <v>164</v>
      </c>
      <c r="E31" s="22" t="s">
        <v>165</v>
      </c>
      <c r="F31" s="22" t="s">
        <v>128</v>
      </c>
      <c r="G31" s="22" t="s">
        <v>166</v>
      </c>
      <c r="H31" s="22" t="s">
        <v>167</v>
      </c>
      <c r="I31" s="22" t="s">
        <v>131</v>
      </c>
      <c r="J31" s="22" t="s">
        <v>168</v>
      </c>
      <c r="K31" s="22" t="s">
        <v>48</v>
      </c>
      <c r="L31" s="22">
        <v>21</v>
      </c>
      <c r="M31" s="22">
        <v>20</v>
      </c>
      <c r="N31" s="22">
        <v>1</v>
      </c>
      <c r="O31" s="22">
        <v>0</v>
      </c>
      <c r="P31" s="22">
        <v>4</v>
      </c>
      <c r="Q31" s="23">
        <v>0.95240000000000002</v>
      </c>
      <c r="R31" s="22">
        <v>150.30000000000001</v>
      </c>
      <c r="S31" s="22">
        <v>1.5</v>
      </c>
      <c r="T31" s="22">
        <v>19</v>
      </c>
      <c r="U31" s="22">
        <v>20</v>
      </c>
      <c r="V31" s="23">
        <v>1.0526</v>
      </c>
      <c r="W31" s="22">
        <v>3.57</v>
      </c>
      <c r="X31" s="22">
        <v>3.6</v>
      </c>
      <c r="Y31" s="22">
        <v>3.1</v>
      </c>
      <c r="Z31" s="22">
        <v>7.1</v>
      </c>
      <c r="AA31" s="22">
        <v>7.2</v>
      </c>
      <c r="AB31" s="24">
        <v>95000</v>
      </c>
      <c r="AC31" s="22" t="s">
        <v>136</v>
      </c>
      <c r="AD31" s="25" t="s">
        <v>134</v>
      </c>
      <c r="AE31" s="22" t="s">
        <v>135</v>
      </c>
    </row>
    <row r="32" spans="1:31" ht="18" customHeight="1" x14ac:dyDescent="0.2">
      <c r="A32" s="26" t="s">
        <v>161</v>
      </c>
      <c r="B32" s="26" t="s">
        <v>162</v>
      </c>
      <c r="C32" s="26" t="s">
        <v>163</v>
      </c>
      <c r="D32" s="26" t="s">
        <v>164</v>
      </c>
      <c r="E32" s="26" t="s">
        <v>165</v>
      </c>
      <c r="F32" s="26" t="s">
        <v>128</v>
      </c>
      <c r="G32" s="26" t="s">
        <v>166</v>
      </c>
      <c r="H32" s="26" t="s">
        <v>167</v>
      </c>
      <c r="I32" s="26" t="s">
        <v>131</v>
      </c>
      <c r="J32" s="26" t="s">
        <v>168</v>
      </c>
      <c r="K32" s="26" t="s">
        <v>50</v>
      </c>
      <c r="L32" s="26">
        <v>20</v>
      </c>
      <c r="M32" s="26">
        <v>16</v>
      </c>
      <c r="N32" s="26">
        <v>0</v>
      </c>
      <c r="O32" s="26">
        <v>4</v>
      </c>
      <c r="P32" s="26">
        <v>2</v>
      </c>
      <c r="Q32" s="27">
        <v>0.8</v>
      </c>
      <c r="R32" s="26">
        <v>124.3</v>
      </c>
      <c r="S32" s="26">
        <v>5</v>
      </c>
      <c r="T32" s="26">
        <v>18</v>
      </c>
      <c r="U32" s="26">
        <v>16</v>
      </c>
      <c r="V32" s="27">
        <v>0.88890000000000002</v>
      </c>
      <c r="W32" s="26">
        <v>4.3</v>
      </c>
      <c r="X32" s="26">
        <v>4.0999999999999996</v>
      </c>
      <c r="Y32" s="26">
        <v>3.3</v>
      </c>
      <c r="Z32" s="26">
        <v>8.3000000000000007</v>
      </c>
      <c r="AA32" s="26">
        <v>8.1999999999999993</v>
      </c>
      <c r="AB32" s="28">
        <v>95000</v>
      </c>
      <c r="AC32" s="26" t="s">
        <v>136</v>
      </c>
      <c r="AD32" s="29" t="s">
        <v>137</v>
      </c>
      <c r="AE32" s="26" t="s">
        <v>135</v>
      </c>
    </row>
    <row r="33" spans="1:31" ht="18" customHeight="1" x14ac:dyDescent="0.2">
      <c r="A33" s="22" t="s">
        <v>169</v>
      </c>
      <c r="B33" s="22" t="s">
        <v>170</v>
      </c>
      <c r="C33" s="22" t="s">
        <v>171</v>
      </c>
      <c r="D33" s="22" t="s">
        <v>172</v>
      </c>
      <c r="E33" s="22" t="s">
        <v>173</v>
      </c>
      <c r="F33" s="22" t="s">
        <v>142</v>
      </c>
      <c r="G33" s="22" t="s">
        <v>174</v>
      </c>
      <c r="H33" s="22" t="s">
        <v>175</v>
      </c>
      <c r="I33" s="22" t="s">
        <v>131</v>
      </c>
      <c r="J33" s="22" t="s">
        <v>132</v>
      </c>
      <c r="K33" s="22" t="s">
        <v>32</v>
      </c>
      <c r="L33" s="22">
        <v>23</v>
      </c>
      <c r="M33" s="22">
        <v>18</v>
      </c>
      <c r="N33" s="22">
        <v>1</v>
      </c>
      <c r="O33" s="22">
        <v>4</v>
      </c>
      <c r="P33" s="22">
        <v>1</v>
      </c>
      <c r="Q33" s="23">
        <v>0.78259999999999996</v>
      </c>
      <c r="R33" s="22">
        <v>160.4</v>
      </c>
      <c r="S33" s="22">
        <v>0.5</v>
      </c>
      <c r="T33" s="22">
        <v>25</v>
      </c>
      <c r="U33" s="22">
        <v>28</v>
      </c>
      <c r="V33" s="23">
        <v>1.1200000000000001</v>
      </c>
      <c r="W33" s="22">
        <v>4.7300000000000004</v>
      </c>
      <c r="X33" s="22">
        <v>4.5</v>
      </c>
      <c r="Y33" s="22">
        <v>3.5</v>
      </c>
      <c r="Z33" s="22">
        <v>9.1</v>
      </c>
      <c r="AA33" s="22">
        <v>9</v>
      </c>
      <c r="AB33" s="24">
        <v>55000</v>
      </c>
      <c r="AC33" s="22" t="s">
        <v>136</v>
      </c>
      <c r="AD33" s="29" t="s">
        <v>137</v>
      </c>
      <c r="AE33" s="22" t="s">
        <v>145</v>
      </c>
    </row>
    <row r="34" spans="1:31" ht="18" customHeight="1" x14ac:dyDescent="0.2">
      <c r="A34" s="26" t="s">
        <v>169</v>
      </c>
      <c r="B34" s="26" t="s">
        <v>170</v>
      </c>
      <c r="C34" s="26" t="s">
        <v>171</v>
      </c>
      <c r="D34" s="26" t="s">
        <v>172</v>
      </c>
      <c r="E34" s="26" t="s">
        <v>173</v>
      </c>
      <c r="F34" s="26" t="s">
        <v>142</v>
      </c>
      <c r="G34" s="26" t="s">
        <v>174</v>
      </c>
      <c r="H34" s="26" t="s">
        <v>175</v>
      </c>
      <c r="I34" s="26" t="s">
        <v>131</v>
      </c>
      <c r="J34" s="26" t="s">
        <v>132</v>
      </c>
      <c r="K34" s="26" t="s">
        <v>36</v>
      </c>
      <c r="L34" s="26">
        <v>20</v>
      </c>
      <c r="M34" s="26">
        <v>20</v>
      </c>
      <c r="N34" s="26">
        <v>0</v>
      </c>
      <c r="O34" s="26">
        <v>0</v>
      </c>
      <c r="P34" s="26">
        <v>3</v>
      </c>
      <c r="Q34" s="27">
        <v>1</v>
      </c>
      <c r="R34" s="26">
        <v>176.2</v>
      </c>
      <c r="S34" s="26">
        <v>17.2</v>
      </c>
      <c r="T34" s="26">
        <v>22</v>
      </c>
      <c r="U34" s="26">
        <v>17</v>
      </c>
      <c r="V34" s="27">
        <v>0.77270000000000005</v>
      </c>
      <c r="W34" s="26">
        <v>3.93</v>
      </c>
      <c r="X34" s="26">
        <v>4.5</v>
      </c>
      <c r="Y34" s="26">
        <v>3.5</v>
      </c>
      <c r="Z34" s="26">
        <v>8.1</v>
      </c>
      <c r="AA34" s="26">
        <v>9</v>
      </c>
      <c r="AB34" s="28">
        <v>55000</v>
      </c>
      <c r="AC34" s="26" t="s">
        <v>133</v>
      </c>
      <c r="AD34" s="25" t="s">
        <v>134</v>
      </c>
      <c r="AE34" s="26" t="s">
        <v>135</v>
      </c>
    </row>
    <row r="35" spans="1:31" ht="18" customHeight="1" x14ac:dyDescent="0.2">
      <c r="A35" s="22" t="s">
        <v>169</v>
      </c>
      <c r="B35" s="22" t="s">
        <v>170</v>
      </c>
      <c r="C35" s="22" t="s">
        <v>171</v>
      </c>
      <c r="D35" s="22" t="s">
        <v>172</v>
      </c>
      <c r="E35" s="22" t="s">
        <v>173</v>
      </c>
      <c r="F35" s="22" t="s">
        <v>142</v>
      </c>
      <c r="G35" s="22" t="s">
        <v>174</v>
      </c>
      <c r="H35" s="22" t="s">
        <v>175</v>
      </c>
      <c r="I35" s="22" t="s">
        <v>131</v>
      </c>
      <c r="J35" s="22" t="s">
        <v>132</v>
      </c>
      <c r="K35" s="22" t="s">
        <v>40</v>
      </c>
      <c r="L35" s="22">
        <v>21</v>
      </c>
      <c r="M35" s="22">
        <v>15</v>
      </c>
      <c r="N35" s="22">
        <v>1</v>
      </c>
      <c r="O35" s="22">
        <v>5</v>
      </c>
      <c r="P35" s="22">
        <v>3</v>
      </c>
      <c r="Q35" s="23">
        <v>0.71430000000000005</v>
      </c>
      <c r="R35" s="22">
        <v>119.8</v>
      </c>
      <c r="S35" s="22">
        <v>17.3</v>
      </c>
      <c r="T35" s="22">
        <v>23</v>
      </c>
      <c r="U35" s="22">
        <v>19</v>
      </c>
      <c r="V35" s="23">
        <v>0.82609999999999995</v>
      </c>
      <c r="W35" s="22">
        <v>4.37</v>
      </c>
      <c r="X35" s="22">
        <v>3.8</v>
      </c>
      <c r="Y35" s="22">
        <v>4.9000000000000004</v>
      </c>
      <c r="Z35" s="22">
        <v>8.5</v>
      </c>
      <c r="AA35" s="22">
        <v>7.6</v>
      </c>
      <c r="AB35" s="24">
        <v>55000</v>
      </c>
      <c r="AC35" s="22" t="s">
        <v>136</v>
      </c>
      <c r="AD35" s="29" t="s">
        <v>137</v>
      </c>
      <c r="AE35" s="22" t="s">
        <v>145</v>
      </c>
    </row>
    <row r="36" spans="1:31" ht="18" customHeight="1" x14ac:dyDescent="0.2">
      <c r="A36" s="26" t="s">
        <v>169</v>
      </c>
      <c r="B36" s="26" t="s">
        <v>170</v>
      </c>
      <c r="C36" s="26" t="s">
        <v>171</v>
      </c>
      <c r="D36" s="26" t="s">
        <v>172</v>
      </c>
      <c r="E36" s="26" t="s">
        <v>173</v>
      </c>
      <c r="F36" s="26" t="s">
        <v>142</v>
      </c>
      <c r="G36" s="26" t="s">
        <v>174</v>
      </c>
      <c r="H36" s="26" t="s">
        <v>175</v>
      </c>
      <c r="I36" s="26" t="s">
        <v>131</v>
      </c>
      <c r="J36" s="26" t="s">
        <v>132</v>
      </c>
      <c r="K36" s="26" t="s">
        <v>44</v>
      </c>
      <c r="L36" s="26">
        <v>22</v>
      </c>
      <c r="M36" s="26">
        <v>16</v>
      </c>
      <c r="N36" s="26">
        <v>2</v>
      </c>
      <c r="O36" s="26">
        <v>4</v>
      </c>
      <c r="P36" s="26">
        <v>1</v>
      </c>
      <c r="Q36" s="27">
        <v>0.72729999999999995</v>
      </c>
      <c r="R36" s="26">
        <v>135.4</v>
      </c>
      <c r="S36" s="26">
        <v>19.7</v>
      </c>
      <c r="T36" s="26">
        <v>16</v>
      </c>
      <c r="U36" s="26">
        <v>11</v>
      </c>
      <c r="V36" s="27">
        <v>0.6875</v>
      </c>
      <c r="W36" s="26">
        <v>4.13</v>
      </c>
      <c r="X36" s="26">
        <v>3.6</v>
      </c>
      <c r="Y36" s="26">
        <v>5</v>
      </c>
      <c r="Z36" s="26">
        <v>8.1</v>
      </c>
      <c r="AA36" s="26">
        <v>7.2</v>
      </c>
      <c r="AB36" s="28">
        <v>55000</v>
      </c>
      <c r="AC36" s="26" t="s">
        <v>136</v>
      </c>
      <c r="AD36" s="29" t="s">
        <v>137</v>
      </c>
      <c r="AE36" s="26" t="s">
        <v>135</v>
      </c>
    </row>
    <row r="37" spans="1:31" ht="18" customHeight="1" x14ac:dyDescent="0.2">
      <c r="A37" s="22" t="s">
        <v>169</v>
      </c>
      <c r="B37" s="22" t="s">
        <v>170</v>
      </c>
      <c r="C37" s="22" t="s">
        <v>171</v>
      </c>
      <c r="D37" s="22" t="s">
        <v>172</v>
      </c>
      <c r="E37" s="22" t="s">
        <v>173</v>
      </c>
      <c r="F37" s="22" t="s">
        <v>142</v>
      </c>
      <c r="G37" s="22" t="s">
        <v>174</v>
      </c>
      <c r="H37" s="22" t="s">
        <v>175</v>
      </c>
      <c r="I37" s="22" t="s">
        <v>131</v>
      </c>
      <c r="J37" s="22" t="s">
        <v>132</v>
      </c>
      <c r="K37" s="22" t="s">
        <v>48</v>
      </c>
      <c r="L37" s="22">
        <v>21</v>
      </c>
      <c r="M37" s="22">
        <v>15</v>
      </c>
      <c r="N37" s="22">
        <v>3</v>
      </c>
      <c r="O37" s="22">
        <v>3</v>
      </c>
      <c r="P37" s="22">
        <v>4</v>
      </c>
      <c r="Q37" s="23">
        <v>0.71430000000000005</v>
      </c>
      <c r="R37" s="22">
        <v>115.7</v>
      </c>
      <c r="S37" s="22">
        <v>0.9</v>
      </c>
      <c r="T37" s="22">
        <v>28</v>
      </c>
      <c r="U37" s="22">
        <v>18</v>
      </c>
      <c r="V37" s="23">
        <v>0.64290000000000003</v>
      </c>
      <c r="W37" s="22">
        <v>4.2699999999999996</v>
      </c>
      <c r="X37" s="22">
        <v>4.9000000000000004</v>
      </c>
      <c r="Y37" s="22">
        <v>4.5</v>
      </c>
      <c r="Z37" s="22">
        <v>9</v>
      </c>
      <c r="AA37" s="22">
        <v>9.8000000000000007</v>
      </c>
      <c r="AB37" s="24">
        <v>55000</v>
      </c>
      <c r="AC37" s="22" t="s">
        <v>136</v>
      </c>
      <c r="AD37" s="29" t="s">
        <v>137</v>
      </c>
      <c r="AE37" s="22" t="s">
        <v>145</v>
      </c>
    </row>
    <row r="38" spans="1:31" ht="18" customHeight="1" x14ac:dyDescent="0.2">
      <c r="A38" s="26" t="s">
        <v>169</v>
      </c>
      <c r="B38" s="26" t="s">
        <v>170</v>
      </c>
      <c r="C38" s="26" t="s">
        <v>171</v>
      </c>
      <c r="D38" s="26" t="s">
        <v>172</v>
      </c>
      <c r="E38" s="26" t="s">
        <v>173</v>
      </c>
      <c r="F38" s="26" t="s">
        <v>142</v>
      </c>
      <c r="G38" s="26" t="s">
        <v>174</v>
      </c>
      <c r="H38" s="26" t="s">
        <v>175</v>
      </c>
      <c r="I38" s="26" t="s">
        <v>131</v>
      </c>
      <c r="J38" s="26" t="s">
        <v>132</v>
      </c>
      <c r="K38" s="26" t="s">
        <v>50</v>
      </c>
      <c r="L38" s="26">
        <v>20</v>
      </c>
      <c r="M38" s="26">
        <v>15</v>
      </c>
      <c r="N38" s="26">
        <v>2</v>
      </c>
      <c r="O38" s="26">
        <v>3</v>
      </c>
      <c r="P38" s="26">
        <v>3</v>
      </c>
      <c r="Q38" s="27">
        <v>0.75</v>
      </c>
      <c r="R38" s="26">
        <v>112.1</v>
      </c>
      <c r="S38" s="26">
        <v>13.3</v>
      </c>
      <c r="T38" s="26">
        <v>25</v>
      </c>
      <c r="U38" s="26">
        <v>25</v>
      </c>
      <c r="V38" s="27">
        <v>1</v>
      </c>
      <c r="W38" s="26">
        <v>4.2</v>
      </c>
      <c r="X38" s="26">
        <v>3.3</v>
      </c>
      <c r="Y38" s="26">
        <v>3.6</v>
      </c>
      <c r="Z38" s="26">
        <v>7.7</v>
      </c>
      <c r="AA38" s="26">
        <v>6.6</v>
      </c>
      <c r="AB38" s="28">
        <v>55000</v>
      </c>
      <c r="AC38" s="26" t="s">
        <v>136</v>
      </c>
      <c r="AD38" s="29" t="s">
        <v>137</v>
      </c>
      <c r="AE38" s="26" t="s">
        <v>135</v>
      </c>
    </row>
    <row r="39" spans="1:31" ht="18" customHeight="1" x14ac:dyDescent="0.2">
      <c r="A39" s="22" t="s">
        <v>176</v>
      </c>
      <c r="B39" s="22" t="s">
        <v>177</v>
      </c>
      <c r="C39" s="22" t="s">
        <v>125</v>
      </c>
      <c r="D39" s="22" t="s">
        <v>178</v>
      </c>
      <c r="E39" s="22" t="s">
        <v>141</v>
      </c>
      <c r="F39" s="22" t="s">
        <v>128</v>
      </c>
      <c r="G39" s="22" t="s">
        <v>179</v>
      </c>
      <c r="H39" s="22" t="s">
        <v>130</v>
      </c>
      <c r="I39" s="22" t="s">
        <v>131</v>
      </c>
      <c r="J39" s="22" t="s">
        <v>144</v>
      </c>
      <c r="K39" s="22" t="s">
        <v>32</v>
      </c>
      <c r="L39" s="22">
        <v>23</v>
      </c>
      <c r="M39" s="22">
        <v>20</v>
      </c>
      <c r="N39" s="22">
        <v>2</v>
      </c>
      <c r="O39" s="22">
        <v>1</v>
      </c>
      <c r="P39" s="22">
        <v>3</v>
      </c>
      <c r="Q39" s="23">
        <v>0.86960000000000004</v>
      </c>
      <c r="R39" s="22">
        <v>170.9</v>
      </c>
      <c r="S39" s="22">
        <v>11.1</v>
      </c>
      <c r="T39" s="22">
        <v>21</v>
      </c>
      <c r="U39" s="22">
        <v>19</v>
      </c>
      <c r="V39" s="23">
        <v>0.90480000000000005</v>
      </c>
      <c r="W39" s="22">
        <v>4.17</v>
      </c>
      <c r="X39" s="22">
        <v>2.9</v>
      </c>
      <c r="Y39" s="22">
        <v>4.0999999999999996</v>
      </c>
      <c r="Z39" s="22">
        <v>7.6</v>
      </c>
      <c r="AA39" s="22">
        <v>5.8</v>
      </c>
      <c r="AB39" s="24">
        <v>75000</v>
      </c>
      <c r="AC39" s="22" t="s">
        <v>133</v>
      </c>
      <c r="AD39" s="25" t="s">
        <v>134</v>
      </c>
      <c r="AE39" s="22" t="s">
        <v>135</v>
      </c>
    </row>
    <row r="40" spans="1:31" ht="18" customHeight="1" x14ac:dyDescent="0.2">
      <c r="A40" s="26" t="s">
        <v>176</v>
      </c>
      <c r="B40" s="26" t="s">
        <v>177</v>
      </c>
      <c r="C40" s="26" t="s">
        <v>125</v>
      </c>
      <c r="D40" s="26" t="s">
        <v>178</v>
      </c>
      <c r="E40" s="26" t="s">
        <v>141</v>
      </c>
      <c r="F40" s="26" t="s">
        <v>128</v>
      </c>
      <c r="G40" s="26" t="s">
        <v>179</v>
      </c>
      <c r="H40" s="26" t="s">
        <v>130</v>
      </c>
      <c r="I40" s="26" t="s">
        <v>131</v>
      </c>
      <c r="J40" s="26" t="s">
        <v>144</v>
      </c>
      <c r="K40" s="26" t="s">
        <v>36</v>
      </c>
      <c r="L40" s="26">
        <v>20</v>
      </c>
      <c r="M40" s="26">
        <v>17</v>
      </c>
      <c r="N40" s="26">
        <v>0</v>
      </c>
      <c r="O40" s="26">
        <v>3</v>
      </c>
      <c r="P40" s="26">
        <v>2</v>
      </c>
      <c r="Q40" s="27">
        <v>0.85</v>
      </c>
      <c r="R40" s="26">
        <v>134.6</v>
      </c>
      <c r="S40" s="26">
        <v>8.6</v>
      </c>
      <c r="T40" s="26">
        <v>33</v>
      </c>
      <c r="U40" s="26">
        <v>31</v>
      </c>
      <c r="V40" s="27">
        <v>0.93940000000000001</v>
      </c>
      <c r="W40" s="26">
        <v>3.6</v>
      </c>
      <c r="X40" s="26">
        <v>3.7</v>
      </c>
      <c r="Y40" s="26">
        <v>4.8</v>
      </c>
      <c r="Z40" s="26">
        <v>7.5</v>
      </c>
      <c r="AA40" s="26">
        <v>7.4</v>
      </c>
      <c r="AB40" s="28">
        <v>75000</v>
      </c>
      <c r="AC40" s="26" t="s">
        <v>133</v>
      </c>
      <c r="AD40" s="25" t="s">
        <v>134</v>
      </c>
      <c r="AE40" s="26" t="s">
        <v>135</v>
      </c>
    </row>
    <row r="41" spans="1:31" ht="18" customHeight="1" x14ac:dyDescent="0.2">
      <c r="A41" s="22" t="s">
        <v>176</v>
      </c>
      <c r="B41" s="22" t="s">
        <v>177</v>
      </c>
      <c r="C41" s="22" t="s">
        <v>125</v>
      </c>
      <c r="D41" s="22" t="s">
        <v>178</v>
      </c>
      <c r="E41" s="22" t="s">
        <v>141</v>
      </c>
      <c r="F41" s="22" t="s">
        <v>128</v>
      </c>
      <c r="G41" s="22" t="s">
        <v>179</v>
      </c>
      <c r="H41" s="22" t="s">
        <v>130</v>
      </c>
      <c r="I41" s="22" t="s">
        <v>131</v>
      </c>
      <c r="J41" s="22" t="s">
        <v>144</v>
      </c>
      <c r="K41" s="22" t="s">
        <v>40</v>
      </c>
      <c r="L41" s="22">
        <v>21</v>
      </c>
      <c r="M41" s="22">
        <v>21</v>
      </c>
      <c r="N41" s="22">
        <v>0</v>
      </c>
      <c r="O41" s="22">
        <v>0</v>
      </c>
      <c r="P41" s="22">
        <v>5</v>
      </c>
      <c r="Q41" s="23">
        <v>1</v>
      </c>
      <c r="R41" s="22">
        <v>160.5</v>
      </c>
      <c r="S41" s="22">
        <v>10.3</v>
      </c>
      <c r="T41" s="22">
        <v>35</v>
      </c>
      <c r="U41" s="22">
        <v>32</v>
      </c>
      <c r="V41" s="23">
        <v>0.9143</v>
      </c>
      <c r="W41" s="22">
        <v>3.73</v>
      </c>
      <c r="X41" s="22">
        <v>3.3</v>
      </c>
      <c r="Y41" s="22">
        <v>4.5999999999999996</v>
      </c>
      <c r="Z41" s="22">
        <v>7.4</v>
      </c>
      <c r="AA41" s="22">
        <v>6.6</v>
      </c>
      <c r="AB41" s="24">
        <v>75000</v>
      </c>
      <c r="AC41" s="22" t="s">
        <v>136</v>
      </c>
      <c r="AD41" s="25" t="s">
        <v>134</v>
      </c>
      <c r="AE41" s="22" t="s">
        <v>135</v>
      </c>
    </row>
    <row r="42" spans="1:31" ht="18" customHeight="1" x14ac:dyDescent="0.2">
      <c r="A42" s="26" t="s">
        <v>176</v>
      </c>
      <c r="B42" s="26" t="s">
        <v>177</v>
      </c>
      <c r="C42" s="26" t="s">
        <v>125</v>
      </c>
      <c r="D42" s="26" t="s">
        <v>178</v>
      </c>
      <c r="E42" s="26" t="s">
        <v>141</v>
      </c>
      <c r="F42" s="26" t="s">
        <v>128</v>
      </c>
      <c r="G42" s="26" t="s">
        <v>179</v>
      </c>
      <c r="H42" s="26" t="s">
        <v>130</v>
      </c>
      <c r="I42" s="26" t="s">
        <v>131</v>
      </c>
      <c r="J42" s="26" t="s">
        <v>144</v>
      </c>
      <c r="K42" s="26" t="s">
        <v>44</v>
      </c>
      <c r="L42" s="26">
        <v>22</v>
      </c>
      <c r="M42" s="26">
        <v>17</v>
      </c>
      <c r="N42" s="26">
        <v>0</v>
      </c>
      <c r="O42" s="26">
        <v>5</v>
      </c>
      <c r="P42" s="26">
        <v>0</v>
      </c>
      <c r="Q42" s="27">
        <v>0.77270000000000005</v>
      </c>
      <c r="R42" s="26">
        <v>133.30000000000001</v>
      </c>
      <c r="S42" s="26">
        <v>9.5</v>
      </c>
      <c r="T42" s="26">
        <v>17</v>
      </c>
      <c r="U42" s="26">
        <v>18</v>
      </c>
      <c r="V42" s="27">
        <v>1.0588</v>
      </c>
      <c r="W42" s="26">
        <v>3.7</v>
      </c>
      <c r="X42" s="26">
        <v>4.2</v>
      </c>
      <c r="Y42" s="26">
        <v>4</v>
      </c>
      <c r="Z42" s="26">
        <v>7.8</v>
      </c>
      <c r="AA42" s="26">
        <v>8.4</v>
      </c>
      <c r="AB42" s="28">
        <v>75000</v>
      </c>
      <c r="AC42" s="26" t="s">
        <v>136</v>
      </c>
      <c r="AD42" s="29" t="s">
        <v>137</v>
      </c>
      <c r="AE42" s="26" t="s">
        <v>135</v>
      </c>
    </row>
    <row r="43" spans="1:31" ht="18" customHeight="1" x14ac:dyDescent="0.2">
      <c r="A43" s="22" t="s">
        <v>176</v>
      </c>
      <c r="B43" s="22" t="s">
        <v>177</v>
      </c>
      <c r="C43" s="22" t="s">
        <v>125</v>
      </c>
      <c r="D43" s="22" t="s">
        <v>178</v>
      </c>
      <c r="E43" s="22" t="s">
        <v>141</v>
      </c>
      <c r="F43" s="22" t="s">
        <v>128</v>
      </c>
      <c r="G43" s="22" t="s">
        <v>179</v>
      </c>
      <c r="H43" s="22" t="s">
        <v>130</v>
      </c>
      <c r="I43" s="22" t="s">
        <v>131</v>
      </c>
      <c r="J43" s="22" t="s">
        <v>144</v>
      </c>
      <c r="K43" s="22" t="s">
        <v>48</v>
      </c>
      <c r="L43" s="22">
        <v>21</v>
      </c>
      <c r="M43" s="22">
        <v>16</v>
      </c>
      <c r="N43" s="22">
        <v>1</v>
      </c>
      <c r="O43" s="22">
        <v>4</v>
      </c>
      <c r="P43" s="22">
        <v>5</v>
      </c>
      <c r="Q43" s="23">
        <v>0.76190000000000002</v>
      </c>
      <c r="R43" s="22">
        <v>138.6</v>
      </c>
      <c r="S43" s="22">
        <v>17.899999999999999</v>
      </c>
      <c r="T43" s="22">
        <v>18</v>
      </c>
      <c r="U43" s="22">
        <v>17</v>
      </c>
      <c r="V43" s="23">
        <v>0.94440000000000002</v>
      </c>
      <c r="W43" s="22">
        <v>4.07</v>
      </c>
      <c r="X43" s="22">
        <v>3.7</v>
      </c>
      <c r="Y43" s="22">
        <v>4.0999999999999996</v>
      </c>
      <c r="Z43" s="22">
        <v>7.9</v>
      </c>
      <c r="AA43" s="22">
        <v>7.4</v>
      </c>
      <c r="AB43" s="24">
        <v>75000</v>
      </c>
      <c r="AC43" s="22" t="s">
        <v>136</v>
      </c>
      <c r="AD43" s="29" t="s">
        <v>137</v>
      </c>
      <c r="AE43" s="22" t="s">
        <v>135</v>
      </c>
    </row>
    <row r="44" spans="1:31" ht="18" customHeight="1" x14ac:dyDescent="0.2">
      <c r="A44" s="26" t="s">
        <v>176</v>
      </c>
      <c r="B44" s="26" t="s">
        <v>177</v>
      </c>
      <c r="C44" s="26" t="s">
        <v>125</v>
      </c>
      <c r="D44" s="26" t="s">
        <v>178</v>
      </c>
      <c r="E44" s="26" t="s">
        <v>141</v>
      </c>
      <c r="F44" s="26" t="s">
        <v>128</v>
      </c>
      <c r="G44" s="26" t="s">
        <v>179</v>
      </c>
      <c r="H44" s="26" t="s">
        <v>130</v>
      </c>
      <c r="I44" s="26" t="s">
        <v>131</v>
      </c>
      <c r="J44" s="26" t="s">
        <v>144</v>
      </c>
      <c r="K44" s="26" t="s">
        <v>50</v>
      </c>
      <c r="L44" s="26">
        <v>20</v>
      </c>
      <c r="M44" s="26">
        <v>20</v>
      </c>
      <c r="N44" s="26">
        <v>0</v>
      </c>
      <c r="O44" s="26">
        <v>0</v>
      </c>
      <c r="P44" s="26">
        <v>3</v>
      </c>
      <c r="Q44" s="27">
        <v>1</v>
      </c>
      <c r="R44" s="26">
        <v>154</v>
      </c>
      <c r="S44" s="26">
        <v>9.3000000000000007</v>
      </c>
      <c r="T44" s="26">
        <v>31</v>
      </c>
      <c r="U44" s="26">
        <v>30</v>
      </c>
      <c r="V44" s="27">
        <v>0.9677</v>
      </c>
      <c r="W44" s="26">
        <v>4.57</v>
      </c>
      <c r="X44" s="26">
        <v>4.3</v>
      </c>
      <c r="Y44" s="26">
        <v>4</v>
      </c>
      <c r="Z44" s="26">
        <v>8.9</v>
      </c>
      <c r="AA44" s="26">
        <v>8.6</v>
      </c>
      <c r="AB44" s="28">
        <v>75000</v>
      </c>
      <c r="AC44" s="26" t="s">
        <v>133</v>
      </c>
      <c r="AD44" s="25" t="s">
        <v>134</v>
      </c>
      <c r="AE44" s="26" t="s">
        <v>145</v>
      </c>
    </row>
    <row r="45" spans="1:31" ht="18" customHeight="1" x14ac:dyDescent="0.2">
      <c r="A45" s="22" t="s">
        <v>180</v>
      </c>
      <c r="B45" s="22" t="s">
        <v>181</v>
      </c>
      <c r="C45" s="22" t="s">
        <v>182</v>
      </c>
      <c r="D45" s="22" t="s">
        <v>183</v>
      </c>
      <c r="E45" s="22" t="s">
        <v>150</v>
      </c>
      <c r="F45" s="22" t="s">
        <v>142</v>
      </c>
      <c r="G45" s="22" t="s">
        <v>184</v>
      </c>
      <c r="H45" s="22" t="s">
        <v>185</v>
      </c>
      <c r="I45" s="22" t="s">
        <v>131</v>
      </c>
      <c r="J45" s="22" t="s">
        <v>153</v>
      </c>
      <c r="K45" s="22" t="s">
        <v>32</v>
      </c>
      <c r="L45" s="22">
        <v>23</v>
      </c>
      <c r="M45" s="22">
        <v>23</v>
      </c>
      <c r="N45" s="22">
        <v>0</v>
      </c>
      <c r="O45" s="22">
        <v>0</v>
      </c>
      <c r="P45" s="22">
        <v>1</v>
      </c>
      <c r="Q45" s="23">
        <v>1</v>
      </c>
      <c r="R45" s="22">
        <v>196.3</v>
      </c>
      <c r="S45" s="22">
        <v>9.5</v>
      </c>
      <c r="T45" s="22">
        <v>23</v>
      </c>
      <c r="U45" s="22">
        <v>26</v>
      </c>
      <c r="V45" s="23">
        <v>1.1304000000000001</v>
      </c>
      <c r="W45" s="22">
        <v>4.07</v>
      </c>
      <c r="X45" s="22">
        <v>3.8</v>
      </c>
      <c r="Y45" s="22">
        <v>4.3</v>
      </c>
      <c r="Z45" s="22">
        <v>8</v>
      </c>
      <c r="AA45" s="22">
        <v>7.6</v>
      </c>
      <c r="AB45" s="24">
        <v>35000</v>
      </c>
      <c r="AC45" s="22" t="s">
        <v>133</v>
      </c>
      <c r="AD45" s="25" t="s">
        <v>134</v>
      </c>
      <c r="AE45" s="22" t="s">
        <v>135</v>
      </c>
    </row>
    <row r="46" spans="1:31" ht="18" customHeight="1" x14ac:dyDescent="0.2">
      <c r="A46" s="26" t="s">
        <v>180</v>
      </c>
      <c r="B46" s="26" t="s">
        <v>181</v>
      </c>
      <c r="C46" s="26" t="s">
        <v>182</v>
      </c>
      <c r="D46" s="26" t="s">
        <v>183</v>
      </c>
      <c r="E46" s="26" t="s">
        <v>150</v>
      </c>
      <c r="F46" s="26" t="s">
        <v>142</v>
      </c>
      <c r="G46" s="26" t="s">
        <v>184</v>
      </c>
      <c r="H46" s="26" t="s">
        <v>185</v>
      </c>
      <c r="I46" s="26" t="s">
        <v>131</v>
      </c>
      <c r="J46" s="26" t="s">
        <v>153</v>
      </c>
      <c r="K46" s="26" t="s">
        <v>36</v>
      </c>
      <c r="L46" s="26">
        <v>20</v>
      </c>
      <c r="M46" s="26">
        <v>16</v>
      </c>
      <c r="N46" s="26">
        <v>3</v>
      </c>
      <c r="O46" s="26">
        <v>1</v>
      </c>
      <c r="P46" s="26">
        <v>0</v>
      </c>
      <c r="Q46" s="27">
        <v>0.8</v>
      </c>
      <c r="R46" s="26">
        <v>139.4</v>
      </c>
      <c r="S46" s="26">
        <v>4.7</v>
      </c>
      <c r="T46" s="26">
        <v>25</v>
      </c>
      <c r="U46" s="26">
        <v>21</v>
      </c>
      <c r="V46" s="27">
        <v>0.84</v>
      </c>
      <c r="W46" s="26">
        <v>3.63</v>
      </c>
      <c r="X46" s="26">
        <v>3.5</v>
      </c>
      <c r="Y46" s="26">
        <v>3.3</v>
      </c>
      <c r="Z46" s="26">
        <v>7.1</v>
      </c>
      <c r="AA46" s="26">
        <v>7</v>
      </c>
      <c r="AB46" s="28">
        <v>35000</v>
      </c>
      <c r="AC46" s="26" t="s">
        <v>136</v>
      </c>
      <c r="AD46" s="29" t="s">
        <v>137</v>
      </c>
      <c r="AE46" s="26" t="s">
        <v>135</v>
      </c>
    </row>
    <row r="47" spans="1:31" ht="18" customHeight="1" x14ac:dyDescent="0.2">
      <c r="A47" s="22" t="s">
        <v>180</v>
      </c>
      <c r="B47" s="22" t="s">
        <v>181</v>
      </c>
      <c r="C47" s="22" t="s">
        <v>182</v>
      </c>
      <c r="D47" s="22" t="s">
        <v>183</v>
      </c>
      <c r="E47" s="22" t="s">
        <v>150</v>
      </c>
      <c r="F47" s="22" t="s">
        <v>142</v>
      </c>
      <c r="G47" s="22" t="s">
        <v>184</v>
      </c>
      <c r="H47" s="22" t="s">
        <v>185</v>
      </c>
      <c r="I47" s="22" t="s">
        <v>131</v>
      </c>
      <c r="J47" s="22" t="s">
        <v>153</v>
      </c>
      <c r="K47" s="22" t="s">
        <v>40</v>
      </c>
      <c r="L47" s="22">
        <v>21</v>
      </c>
      <c r="M47" s="22">
        <v>16</v>
      </c>
      <c r="N47" s="22">
        <v>0</v>
      </c>
      <c r="O47" s="22">
        <v>5</v>
      </c>
      <c r="P47" s="22">
        <v>3</v>
      </c>
      <c r="Q47" s="23">
        <v>0.76190000000000002</v>
      </c>
      <c r="R47" s="22">
        <v>130.19999999999999</v>
      </c>
      <c r="S47" s="22">
        <v>10.9</v>
      </c>
      <c r="T47" s="22">
        <v>28</v>
      </c>
      <c r="U47" s="22">
        <v>18</v>
      </c>
      <c r="V47" s="23">
        <v>0.64290000000000003</v>
      </c>
      <c r="W47" s="22">
        <v>4</v>
      </c>
      <c r="X47" s="22">
        <v>4</v>
      </c>
      <c r="Y47" s="22">
        <v>4.4000000000000004</v>
      </c>
      <c r="Z47" s="22">
        <v>8.1</v>
      </c>
      <c r="AA47" s="22">
        <v>8</v>
      </c>
      <c r="AB47" s="24">
        <v>35000</v>
      </c>
      <c r="AC47" s="22" t="s">
        <v>136</v>
      </c>
      <c r="AD47" s="29" t="s">
        <v>137</v>
      </c>
      <c r="AE47" s="22" t="s">
        <v>135</v>
      </c>
    </row>
    <row r="48" spans="1:31" ht="18" customHeight="1" x14ac:dyDescent="0.2">
      <c r="A48" s="26" t="s">
        <v>180</v>
      </c>
      <c r="B48" s="26" t="s">
        <v>181</v>
      </c>
      <c r="C48" s="26" t="s">
        <v>182</v>
      </c>
      <c r="D48" s="26" t="s">
        <v>183</v>
      </c>
      <c r="E48" s="26" t="s">
        <v>150</v>
      </c>
      <c r="F48" s="26" t="s">
        <v>142</v>
      </c>
      <c r="G48" s="26" t="s">
        <v>184</v>
      </c>
      <c r="H48" s="26" t="s">
        <v>185</v>
      </c>
      <c r="I48" s="26" t="s">
        <v>131</v>
      </c>
      <c r="J48" s="26" t="s">
        <v>153</v>
      </c>
      <c r="K48" s="26" t="s">
        <v>44</v>
      </c>
      <c r="L48" s="26">
        <v>22</v>
      </c>
      <c r="M48" s="26">
        <v>22</v>
      </c>
      <c r="N48" s="26">
        <v>0</v>
      </c>
      <c r="O48" s="26">
        <v>0</v>
      </c>
      <c r="P48" s="26">
        <v>3</v>
      </c>
      <c r="Q48" s="27">
        <v>1</v>
      </c>
      <c r="R48" s="26">
        <v>166.2</v>
      </c>
      <c r="S48" s="26">
        <v>7</v>
      </c>
      <c r="T48" s="26">
        <v>27</v>
      </c>
      <c r="U48" s="26">
        <v>30</v>
      </c>
      <c r="V48" s="27">
        <v>1.1111</v>
      </c>
      <c r="W48" s="26">
        <v>4.43</v>
      </c>
      <c r="X48" s="26">
        <v>4.3</v>
      </c>
      <c r="Y48" s="26">
        <v>4.5999999999999996</v>
      </c>
      <c r="Z48" s="26">
        <v>8.8000000000000007</v>
      </c>
      <c r="AA48" s="26">
        <v>8.6</v>
      </c>
      <c r="AB48" s="28">
        <v>35000</v>
      </c>
      <c r="AC48" s="26" t="s">
        <v>133</v>
      </c>
      <c r="AD48" s="25" t="s">
        <v>134</v>
      </c>
      <c r="AE48" s="26" t="s">
        <v>145</v>
      </c>
    </row>
    <row r="49" spans="1:31" ht="18" customHeight="1" x14ac:dyDescent="0.2">
      <c r="A49" s="22" t="s">
        <v>180</v>
      </c>
      <c r="B49" s="22" t="s">
        <v>181</v>
      </c>
      <c r="C49" s="22" t="s">
        <v>182</v>
      </c>
      <c r="D49" s="22" t="s">
        <v>183</v>
      </c>
      <c r="E49" s="22" t="s">
        <v>150</v>
      </c>
      <c r="F49" s="22" t="s">
        <v>142</v>
      </c>
      <c r="G49" s="22" t="s">
        <v>184</v>
      </c>
      <c r="H49" s="22" t="s">
        <v>185</v>
      </c>
      <c r="I49" s="22" t="s">
        <v>131</v>
      </c>
      <c r="J49" s="22" t="s">
        <v>153</v>
      </c>
      <c r="K49" s="22" t="s">
        <v>48</v>
      </c>
      <c r="L49" s="22">
        <v>21</v>
      </c>
      <c r="M49" s="22">
        <v>16</v>
      </c>
      <c r="N49" s="22">
        <v>3</v>
      </c>
      <c r="O49" s="22">
        <v>2</v>
      </c>
      <c r="P49" s="22">
        <v>1</v>
      </c>
      <c r="Q49" s="23">
        <v>0.76190000000000002</v>
      </c>
      <c r="R49" s="22">
        <v>126.2</v>
      </c>
      <c r="S49" s="22">
        <v>9.6999999999999993</v>
      </c>
      <c r="T49" s="22">
        <v>27</v>
      </c>
      <c r="U49" s="22">
        <v>22</v>
      </c>
      <c r="V49" s="23">
        <v>0.81479999999999997</v>
      </c>
      <c r="W49" s="22">
        <v>4.4000000000000004</v>
      </c>
      <c r="X49" s="22">
        <v>4.5999999999999996</v>
      </c>
      <c r="Y49" s="22">
        <v>4.8</v>
      </c>
      <c r="Z49" s="22">
        <v>9</v>
      </c>
      <c r="AA49" s="22">
        <v>9.1999999999999993</v>
      </c>
      <c r="AB49" s="24">
        <v>35000</v>
      </c>
      <c r="AC49" s="22" t="s">
        <v>136</v>
      </c>
      <c r="AD49" s="29" t="s">
        <v>137</v>
      </c>
      <c r="AE49" s="22" t="s">
        <v>145</v>
      </c>
    </row>
    <row r="50" spans="1:31" ht="18" customHeight="1" x14ac:dyDescent="0.2">
      <c r="A50" s="26" t="s">
        <v>180</v>
      </c>
      <c r="B50" s="26" t="s">
        <v>181</v>
      </c>
      <c r="C50" s="26" t="s">
        <v>182</v>
      </c>
      <c r="D50" s="26" t="s">
        <v>183</v>
      </c>
      <c r="E50" s="26" t="s">
        <v>150</v>
      </c>
      <c r="F50" s="26" t="s">
        <v>142</v>
      </c>
      <c r="G50" s="26" t="s">
        <v>184</v>
      </c>
      <c r="H50" s="26" t="s">
        <v>185</v>
      </c>
      <c r="I50" s="26" t="s">
        <v>131</v>
      </c>
      <c r="J50" s="26" t="s">
        <v>153</v>
      </c>
      <c r="K50" s="26" t="s">
        <v>50</v>
      </c>
      <c r="L50" s="26">
        <v>20</v>
      </c>
      <c r="M50" s="26">
        <v>18</v>
      </c>
      <c r="N50" s="26">
        <v>2</v>
      </c>
      <c r="O50" s="26">
        <v>0</v>
      </c>
      <c r="P50" s="26">
        <v>0</v>
      </c>
      <c r="Q50" s="27">
        <v>0.9</v>
      </c>
      <c r="R50" s="26">
        <v>161.19999999999999</v>
      </c>
      <c r="S50" s="26">
        <v>11.8</v>
      </c>
      <c r="T50" s="26">
        <v>15</v>
      </c>
      <c r="U50" s="26">
        <v>10</v>
      </c>
      <c r="V50" s="27">
        <v>0.66669999999999996</v>
      </c>
      <c r="W50" s="26">
        <v>3.77</v>
      </c>
      <c r="X50" s="26">
        <v>2.6</v>
      </c>
      <c r="Y50" s="26">
        <v>3.8</v>
      </c>
      <c r="Z50" s="26">
        <v>6.8</v>
      </c>
      <c r="AA50" s="26">
        <v>5.2</v>
      </c>
      <c r="AB50" s="28">
        <v>35000</v>
      </c>
      <c r="AC50" s="26" t="s">
        <v>136</v>
      </c>
      <c r="AD50" s="25" t="s">
        <v>134</v>
      </c>
      <c r="AE50" s="26" t="s">
        <v>154</v>
      </c>
    </row>
    <row r="51" spans="1:31" ht="18" customHeight="1" x14ac:dyDescent="0.2">
      <c r="A51" s="22" t="s">
        <v>186</v>
      </c>
      <c r="B51" s="22" t="s">
        <v>187</v>
      </c>
      <c r="C51" s="22" t="s">
        <v>157</v>
      </c>
      <c r="D51" s="22" t="s">
        <v>188</v>
      </c>
      <c r="E51" s="22" t="s">
        <v>127</v>
      </c>
      <c r="F51" s="22" t="s">
        <v>128</v>
      </c>
      <c r="G51" s="22" t="s">
        <v>189</v>
      </c>
      <c r="H51" s="22" t="s">
        <v>160</v>
      </c>
      <c r="I51" s="22" t="s">
        <v>131</v>
      </c>
      <c r="J51" s="22" t="s">
        <v>168</v>
      </c>
      <c r="K51" s="22" t="s">
        <v>32</v>
      </c>
      <c r="L51" s="22">
        <v>23</v>
      </c>
      <c r="M51" s="22">
        <v>18</v>
      </c>
      <c r="N51" s="22">
        <v>3</v>
      </c>
      <c r="O51" s="22">
        <v>2</v>
      </c>
      <c r="P51" s="22">
        <v>2</v>
      </c>
      <c r="Q51" s="23">
        <v>0.78259999999999996</v>
      </c>
      <c r="R51" s="22">
        <v>144.1</v>
      </c>
      <c r="S51" s="22">
        <v>17.600000000000001</v>
      </c>
      <c r="T51" s="22">
        <v>23</v>
      </c>
      <c r="U51" s="22">
        <v>26</v>
      </c>
      <c r="V51" s="23">
        <v>1.1304000000000001</v>
      </c>
      <c r="W51" s="22">
        <v>4.43</v>
      </c>
      <c r="X51" s="22">
        <v>3.7</v>
      </c>
      <c r="Y51" s="22">
        <v>4.5</v>
      </c>
      <c r="Z51" s="22">
        <v>8.4</v>
      </c>
      <c r="AA51" s="22">
        <v>7.4</v>
      </c>
      <c r="AB51" s="24">
        <v>95000</v>
      </c>
      <c r="AC51" s="22" t="s">
        <v>136</v>
      </c>
      <c r="AD51" s="29" t="s">
        <v>137</v>
      </c>
      <c r="AE51" s="22" t="s">
        <v>135</v>
      </c>
    </row>
    <row r="52" spans="1:31" ht="18" customHeight="1" x14ac:dyDescent="0.2">
      <c r="A52" s="26" t="s">
        <v>186</v>
      </c>
      <c r="B52" s="26" t="s">
        <v>187</v>
      </c>
      <c r="C52" s="26" t="s">
        <v>157</v>
      </c>
      <c r="D52" s="26" t="s">
        <v>188</v>
      </c>
      <c r="E52" s="26" t="s">
        <v>127</v>
      </c>
      <c r="F52" s="26" t="s">
        <v>128</v>
      </c>
      <c r="G52" s="26" t="s">
        <v>189</v>
      </c>
      <c r="H52" s="26" t="s">
        <v>160</v>
      </c>
      <c r="I52" s="26" t="s">
        <v>131</v>
      </c>
      <c r="J52" s="26" t="s">
        <v>168</v>
      </c>
      <c r="K52" s="26" t="s">
        <v>36</v>
      </c>
      <c r="L52" s="26">
        <v>20</v>
      </c>
      <c r="M52" s="26">
        <v>14</v>
      </c>
      <c r="N52" s="26">
        <v>2</v>
      </c>
      <c r="O52" s="26">
        <v>4</v>
      </c>
      <c r="P52" s="26">
        <v>1</v>
      </c>
      <c r="Q52" s="27">
        <v>0.7</v>
      </c>
      <c r="R52" s="26">
        <v>121.5</v>
      </c>
      <c r="S52" s="26">
        <v>15.6</v>
      </c>
      <c r="T52" s="26">
        <v>35</v>
      </c>
      <c r="U52" s="26">
        <v>23</v>
      </c>
      <c r="V52" s="27">
        <v>0.65710000000000002</v>
      </c>
      <c r="W52" s="26">
        <v>4.13</v>
      </c>
      <c r="X52" s="26">
        <v>2.6</v>
      </c>
      <c r="Y52" s="26">
        <v>3.3</v>
      </c>
      <c r="Z52" s="26">
        <v>7.2</v>
      </c>
      <c r="AA52" s="26">
        <v>5.2</v>
      </c>
      <c r="AB52" s="28">
        <v>95000</v>
      </c>
      <c r="AC52" s="26" t="s">
        <v>136</v>
      </c>
      <c r="AD52" s="29" t="s">
        <v>137</v>
      </c>
      <c r="AE52" s="26" t="s">
        <v>135</v>
      </c>
    </row>
    <row r="53" spans="1:31" ht="18" customHeight="1" x14ac:dyDescent="0.2">
      <c r="A53" s="22" t="s">
        <v>186</v>
      </c>
      <c r="B53" s="22" t="s">
        <v>187</v>
      </c>
      <c r="C53" s="22" t="s">
        <v>157</v>
      </c>
      <c r="D53" s="22" t="s">
        <v>188</v>
      </c>
      <c r="E53" s="22" t="s">
        <v>127</v>
      </c>
      <c r="F53" s="22" t="s">
        <v>128</v>
      </c>
      <c r="G53" s="22" t="s">
        <v>189</v>
      </c>
      <c r="H53" s="22" t="s">
        <v>160</v>
      </c>
      <c r="I53" s="22" t="s">
        <v>131</v>
      </c>
      <c r="J53" s="22" t="s">
        <v>168</v>
      </c>
      <c r="K53" s="22" t="s">
        <v>40</v>
      </c>
      <c r="L53" s="22">
        <v>21</v>
      </c>
      <c r="M53" s="22">
        <v>16</v>
      </c>
      <c r="N53" s="22">
        <v>3</v>
      </c>
      <c r="O53" s="22">
        <v>2</v>
      </c>
      <c r="P53" s="22">
        <v>5</v>
      </c>
      <c r="Q53" s="23">
        <v>0.76190000000000002</v>
      </c>
      <c r="R53" s="22">
        <v>121.4</v>
      </c>
      <c r="S53" s="22">
        <v>19</v>
      </c>
      <c r="T53" s="22">
        <v>29</v>
      </c>
      <c r="U53" s="22">
        <v>26</v>
      </c>
      <c r="V53" s="23">
        <v>0.89659999999999995</v>
      </c>
      <c r="W53" s="22">
        <v>3.93</v>
      </c>
      <c r="X53" s="22">
        <v>4.4000000000000004</v>
      </c>
      <c r="Y53" s="22">
        <v>3.2</v>
      </c>
      <c r="Z53" s="22">
        <v>8</v>
      </c>
      <c r="AA53" s="22">
        <v>8.8000000000000007</v>
      </c>
      <c r="AB53" s="24">
        <v>95000</v>
      </c>
      <c r="AC53" s="22" t="s">
        <v>136</v>
      </c>
      <c r="AD53" s="29" t="s">
        <v>137</v>
      </c>
      <c r="AE53" s="22" t="s">
        <v>135</v>
      </c>
    </row>
    <row r="54" spans="1:31" ht="18" customHeight="1" x14ac:dyDescent="0.2">
      <c r="A54" s="26" t="s">
        <v>186</v>
      </c>
      <c r="B54" s="26" t="s">
        <v>187</v>
      </c>
      <c r="C54" s="26" t="s">
        <v>157</v>
      </c>
      <c r="D54" s="26" t="s">
        <v>188</v>
      </c>
      <c r="E54" s="26" t="s">
        <v>127</v>
      </c>
      <c r="F54" s="26" t="s">
        <v>128</v>
      </c>
      <c r="G54" s="26" t="s">
        <v>189</v>
      </c>
      <c r="H54" s="26" t="s">
        <v>160</v>
      </c>
      <c r="I54" s="26" t="s">
        <v>131</v>
      </c>
      <c r="J54" s="26" t="s">
        <v>168</v>
      </c>
      <c r="K54" s="26" t="s">
        <v>44</v>
      </c>
      <c r="L54" s="26">
        <v>22</v>
      </c>
      <c r="M54" s="26">
        <v>22</v>
      </c>
      <c r="N54" s="26">
        <v>0</v>
      </c>
      <c r="O54" s="26">
        <v>0</v>
      </c>
      <c r="P54" s="26">
        <v>2</v>
      </c>
      <c r="Q54" s="27">
        <v>1</v>
      </c>
      <c r="R54" s="26">
        <v>169.2</v>
      </c>
      <c r="S54" s="26">
        <v>0.5</v>
      </c>
      <c r="T54" s="26">
        <v>24</v>
      </c>
      <c r="U54" s="26">
        <v>24</v>
      </c>
      <c r="V54" s="27">
        <v>1</v>
      </c>
      <c r="W54" s="26">
        <v>4.2699999999999996</v>
      </c>
      <c r="X54" s="26">
        <v>4.3</v>
      </c>
      <c r="Y54" s="26">
        <v>3.2</v>
      </c>
      <c r="Z54" s="26">
        <v>8.3000000000000007</v>
      </c>
      <c r="AA54" s="26">
        <v>8.6</v>
      </c>
      <c r="AB54" s="28">
        <v>95000</v>
      </c>
      <c r="AC54" s="26" t="s">
        <v>133</v>
      </c>
      <c r="AD54" s="25" t="s">
        <v>134</v>
      </c>
      <c r="AE54" s="26" t="s">
        <v>135</v>
      </c>
    </row>
    <row r="55" spans="1:31" ht="18" customHeight="1" x14ac:dyDescent="0.2">
      <c r="A55" s="22" t="s">
        <v>186</v>
      </c>
      <c r="B55" s="22" t="s">
        <v>187</v>
      </c>
      <c r="C55" s="22" t="s">
        <v>157</v>
      </c>
      <c r="D55" s="22" t="s">
        <v>188</v>
      </c>
      <c r="E55" s="22" t="s">
        <v>127</v>
      </c>
      <c r="F55" s="22" t="s">
        <v>128</v>
      </c>
      <c r="G55" s="22" t="s">
        <v>189</v>
      </c>
      <c r="H55" s="22" t="s">
        <v>160</v>
      </c>
      <c r="I55" s="22" t="s">
        <v>131</v>
      </c>
      <c r="J55" s="22" t="s">
        <v>168</v>
      </c>
      <c r="K55" s="22" t="s">
        <v>48</v>
      </c>
      <c r="L55" s="22">
        <v>21</v>
      </c>
      <c r="M55" s="22">
        <v>20</v>
      </c>
      <c r="N55" s="22">
        <v>0</v>
      </c>
      <c r="O55" s="22">
        <v>1</v>
      </c>
      <c r="P55" s="22">
        <v>0</v>
      </c>
      <c r="Q55" s="23">
        <v>0.95240000000000002</v>
      </c>
      <c r="R55" s="22">
        <v>170.9</v>
      </c>
      <c r="S55" s="22">
        <v>6</v>
      </c>
      <c r="T55" s="22">
        <v>34</v>
      </c>
      <c r="U55" s="22">
        <v>25</v>
      </c>
      <c r="V55" s="23">
        <v>0.73529999999999995</v>
      </c>
      <c r="W55" s="22">
        <v>3.77</v>
      </c>
      <c r="X55" s="22">
        <v>3.8</v>
      </c>
      <c r="Y55" s="22">
        <v>4.3</v>
      </c>
      <c r="Z55" s="22">
        <v>7.7</v>
      </c>
      <c r="AA55" s="22">
        <v>7.6</v>
      </c>
      <c r="AB55" s="24">
        <v>95000</v>
      </c>
      <c r="AC55" s="22" t="s">
        <v>133</v>
      </c>
      <c r="AD55" s="25" t="s">
        <v>134</v>
      </c>
      <c r="AE55" s="22" t="s">
        <v>135</v>
      </c>
    </row>
    <row r="56" spans="1:31" ht="18" customHeight="1" x14ac:dyDescent="0.2">
      <c r="A56" s="26" t="s">
        <v>186</v>
      </c>
      <c r="B56" s="26" t="s">
        <v>187</v>
      </c>
      <c r="C56" s="26" t="s">
        <v>157</v>
      </c>
      <c r="D56" s="26" t="s">
        <v>188</v>
      </c>
      <c r="E56" s="26" t="s">
        <v>127</v>
      </c>
      <c r="F56" s="26" t="s">
        <v>128</v>
      </c>
      <c r="G56" s="26" t="s">
        <v>189</v>
      </c>
      <c r="H56" s="26" t="s">
        <v>160</v>
      </c>
      <c r="I56" s="26" t="s">
        <v>131</v>
      </c>
      <c r="J56" s="26" t="s">
        <v>168</v>
      </c>
      <c r="K56" s="26" t="s">
        <v>50</v>
      </c>
      <c r="L56" s="26">
        <v>20</v>
      </c>
      <c r="M56" s="26">
        <v>14</v>
      </c>
      <c r="N56" s="26">
        <v>2</v>
      </c>
      <c r="O56" s="26">
        <v>4</v>
      </c>
      <c r="P56" s="26">
        <v>0</v>
      </c>
      <c r="Q56" s="27">
        <v>0.7</v>
      </c>
      <c r="R56" s="26">
        <v>127.5</v>
      </c>
      <c r="S56" s="26">
        <v>16.399999999999999</v>
      </c>
      <c r="T56" s="26">
        <v>18</v>
      </c>
      <c r="U56" s="26">
        <v>17</v>
      </c>
      <c r="V56" s="27">
        <v>0.94440000000000002</v>
      </c>
      <c r="W56" s="26">
        <v>4.5999999999999996</v>
      </c>
      <c r="X56" s="26">
        <v>4.3</v>
      </c>
      <c r="Y56" s="26">
        <v>3.9</v>
      </c>
      <c r="Z56" s="26">
        <v>8.9</v>
      </c>
      <c r="AA56" s="26">
        <v>8.6</v>
      </c>
      <c r="AB56" s="28">
        <v>95000</v>
      </c>
      <c r="AC56" s="26" t="s">
        <v>136</v>
      </c>
      <c r="AD56" s="29" t="s">
        <v>137</v>
      </c>
      <c r="AE56" s="26" t="s">
        <v>145</v>
      </c>
    </row>
    <row r="57" spans="1:31" ht="18" customHeight="1" x14ac:dyDescent="0.2">
      <c r="A57" s="22" t="s">
        <v>190</v>
      </c>
      <c r="B57" s="22" t="s">
        <v>191</v>
      </c>
      <c r="C57" s="22" t="s">
        <v>163</v>
      </c>
      <c r="D57" s="22" t="s">
        <v>192</v>
      </c>
      <c r="E57" s="22" t="s">
        <v>141</v>
      </c>
      <c r="F57" s="22" t="s">
        <v>142</v>
      </c>
      <c r="G57" s="22" t="s">
        <v>193</v>
      </c>
      <c r="H57" s="22" t="s">
        <v>167</v>
      </c>
      <c r="I57" s="22" t="s">
        <v>131</v>
      </c>
      <c r="J57" s="22" t="s">
        <v>132</v>
      </c>
      <c r="K57" s="22" t="s">
        <v>32</v>
      </c>
      <c r="L57" s="22">
        <v>23</v>
      </c>
      <c r="M57" s="22">
        <v>22</v>
      </c>
      <c r="N57" s="22">
        <v>1</v>
      </c>
      <c r="O57" s="22">
        <v>0</v>
      </c>
      <c r="P57" s="22">
        <v>4</v>
      </c>
      <c r="Q57" s="23">
        <v>0.95650000000000002</v>
      </c>
      <c r="R57" s="22">
        <v>190.2</v>
      </c>
      <c r="S57" s="22">
        <v>10.8</v>
      </c>
      <c r="T57" s="22">
        <v>30</v>
      </c>
      <c r="U57" s="22">
        <v>33</v>
      </c>
      <c r="V57" s="23">
        <v>1.1000000000000001</v>
      </c>
      <c r="W57" s="22">
        <v>3.87</v>
      </c>
      <c r="X57" s="22">
        <v>4.5999999999999996</v>
      </c>
      <c r="Y57" s="22">
        <v>4.7</v>
      </c>
      <c r="Z57" s="22">
        <v>8.3000000000000007</v>
      </c>
      <c r="AA57" s="22">
        <v>9.1999999999999993</v>
      </c>
      <c r="AB57" s="24">
        <v>55000</v>
      </c>
      <c r="AC57" s="22" t="s">
        <v>133</v>
      </c>
      <c r="AD57" s="25" t="s">
        <v>134</v>
      </c>
      <c r="AE57" s="22" t="s">
        <v>135</v>
      </c>
    </row>
    <row r="58" spans="1:31" ht="18" customHeight="1" x14ac:dyDescent="0.2">
      <c r="A58" s="26" t="s">
        <v>190</v>
      </c>
      <c r="B58" s="26" t="s">
        <v>191</v>
      </c>
      <c r="C58" s="26" t="s">
        <v>163</v>
      </c>
      <c r="D58" s="26" t="s">
        <v>192</v>
      </c>
      <c r="E58" s="26" t="s">
        <v>141</v>
      </c>
      <c r="F58" s="26" t="s">
        <v>142</v>
      </c>
      <c r="G58" s="26" t="s">
        <v>193</v>
      </c>
      <c r="H58" s="26" t="s">
        <v>167</v>
      </c>
      <c r="I58" s="26" t="s">
        <v>131</v>
      </c>
      <c r="J58" s="26" t="s">
        <v>132</v>
      </c>
      <c r="K58" s="26" t="s">
        <v>36</v>
      </c>
      <c r="L58" s="26">
        <v>20</v>
      </c>
      <c r="M58" s="26">
        <v>14</v>
      </c>
      <c r="N58" s="26">
        <v>2</v>
      </c>
      <c r="O58" s="26">
        <v>4</v>
      </c>
      <c r="P58" s="26">
        <v>3</v>
      </c>
      <c r="Q58" s="27">
        <v>0.7</v>
      </c>
      <c r="R58" s="26">
        <v>109.3</v>
      </c>
      <c r="S58" s="26">
        <v>9.3000000000000007</v>
      </c>
      <c r="T58" s="26">
        <v>34</v>
      </c>
      <c r="U58" s="26">
        <v>34</v>
      </c>
      <c r="V58" s="27">
        <v>1</v>
      </c>
      <c r="W58" s="26">
        <v>3.67</v>
      </c>
      <c r="X58" s="26">
        <v>3.7</v>
      </c>
      <c r="Y58" s="26">
        <v>3.7</v>
      </c>
      <c r="Z58" s="26">
        <v>7.4</v>
      </c>
      <c r="AA58" s="26">
        <v>7.4</v>
      </c>
      <c r="AB58" s="28">
        <v>55000</v>
      </c>
      <c r="AC58" s="26" t="s">
        <v>136</v>
      </c>
      <c r="AD58" s="29" t="s">
        <v>137</v>
      </c>
      <c r="AE58" s="26" t="s">
        <v>135</v>
      </c>
    </row>
    <row r="59" spans="1:31" ht="18" customHeight="1" x14ac:dyDescent="0.2">
      <c r="A59" s="22" t="s">
        <v>190</v>
      </c>
      <c r="B59" s="22" t="s">
        <v>191</v>
      </c>
      <c r="C59" s="22" t="s">
        <v>163</v>
      </c>
      <c r="D59" s="22" t="s">
        <v>192</v>
      </c>
      <c r="E59" s="22" t="s">
        <v>141</v>
      </c>
      <c r="F59" s="22" t="s">
        <v>142</v>
      </c>
      <c r="G59" s="22" t="s">
        <v>193</v>
      </c>
      <c r="H59" s="22" t="s">
        <v>167</v>
      </c>
      <c r="I59" s="22" t="s">
        <v>131</v>
      </c>
      <c r="J59" s="22" t="s">
        <v>132</v>
      </c>
      <c r="K59" s="22" t="s">
        <v>40</v>
      </c>
      <c r="L59" s="22">
        <v>21</v>
      </c>
      <c r="M59" s="22">
        <v>17</v>
      </c>
      <c r="N59" s="22">
        <v>2</v>
      </c>
      <c r="O59" s="22">
        <v>2</v>
      </c>
      <c r="P59" s="22">
        <v>2</v>
      </c>
      <c r="Q59" s="23">
        <v>0.8095</v>
      </c>
      <c r="R59" s="22">
        <v>152.4</v>
      </c>
      <c r="S59" s="22">
        <v>14</v>
      </c>
      <c r="T59" s="22">
        <v>23</v>
      </c>
      <c r="U59" s="22">
        <v>22</v>
      </c>
      <c r="V59" s="23">
        <v>0.95650000000000002</v>
      </c>
      <c r="W59" s="22">
        <v>3.53</v>
      </c>
      <c r="X59" s="22">
        <v>4.3</v>
      </c>
      <c r="Y59" s="22">
        <v>4</v>
      </c>
      <c r="Z59" s="22">
        <v>7.6</v>
      </c>
      <c r="AA59" s="22">
        <v>8.6</v>
      </c>
      <c r="AB59" s="24">
        <v>55000</v>
      </c>
      <c r="AC59" s="22" t="s">
        <v>136</v>
      </c>
      <c r="AD59" s="29" t="s">
        <v>137</v>
      </c>
      <c r="AE59" s="22" t="s">
        <v>135</v>
      </c>
    </row>
    <row r="60" spans="1:31" ht="18" customHeight="1" x14ac:dyDescent="0.2">
      <c r="A60" s="26" t="s">
        <v>190</v>
      </c>
      <c r="B60" s="26" t="s">
        <v>191</v>
      </c>
      <c r="C60" s="26" t="s">
        <v>163</v>
      </c>
      <c r="D60" s="26" t="s">
        <v>192</v>
      </c>
      <c r="E60" s="26" t="s">
        <v>141</v>
      </c>
      <c r="F60" s="26" t="s">
        <v>142</v>
      </c>
      <c r="G60" s="26" t="s">
        <v>193</v>
      </c>
      <c r="H60" s="26" t="s">
        <v>167</v>
      </c>
      <c r="I60" s="26" t="s">
        <v>131</v>
      </c>
      <c r="J60" s="26" t="s">
        <v>132</v>
      </c>
      <c r="K60" s="26" t="s">
        <v>44</v>
      </c>
      <c r="L60" s="26">
        <v>22</v>
      </c>
      <c r="M60" s="26">
        <v>22</v>
      </c>
      <c r="N60" s="26">
        <v>0</v>
      </c>
      <c r="O60" s="26">
        <v>0</v>
      </c>
      <c r="P60" s="26">
        <v>5</v>
      </c>
      <c r="Q60" s="27">
        <v>1</v>
      </c>
      <c r="R60" s="26">
        <v>180.3</v>
      </c>
      <c r="S60" s="26">
        <v>14.2</v>
      </c>
      <c r="T60" s="26">
        <v>29</v>
      </c>
      <c r="U60" s="26">
        <v>18</v>
      </c>
      <c r="V60" s="27">
        <v>0.62070000000000003</v>
      </c>
      <c r="W60" s="26">
        <v>3.6</v>
      </c>
      <c r="X60" s="26">
        <v>3.3</v>
      </c>
      <c r="Y60" s="26">
        <v>4.2</v>
      </c>
      <c r="Z60" s="26">
        <v>7.1</v>
      </c>
      <c r="AA60" s="26">
        <v>6.6</v>
      </c>
      <c r="AB60" s="28">
        <v>55000</v>
      </c>
      <c r="AC60" s="26" t="s">
        <v>136</v>
      </c>
      <c r="AD60" s="25" t="s">
        <v>134</v>
      </c>
      <c r="AE60" s="26" t="s">
        <v>135</v>
      </c>
    </row>
    <row r="61" spans="1:31" ht="18" customHeight="1" x14ac:dyDescent="0.2">
      <c r="A61" s="22" t="s">
        <v>190</v>
      </c>
      <c r="B61" s="22" t="s">
        <v>191</v>
      </c>
      <c r="C61" s="22" t="s">
        <v>163</v>
      </c>
      <c r="D61" s="22" t="s">
        <v>192</v>
      </c>
      <c r="E61" s="22" t="s">
        <v>141</v>
      </c>
      <c r="F61" s="22" t="s">
        <v>142</v>
      </c>
      <c r="G61" s="22" t="s">
        <v>193</v>
      </c>
      <c r="H61" s="22" t="s">
        <v>167</v>
      </c>
      <c r="I61" s="22" t="s">
        <v>131</v>
      </c>
      <c r="J61" s="22" t="s">
        <v>132</v>
      </c>
      <c r="K61" s="22" t="s">
        <v>48</v>
      </c>
      <c r="L61" s="22">
        <v>21</v>
      </c>
      <c r="M61" s="22">
        <v>18</v>
      </c>
      <c r="N61" s="22">
        <v>2</v>
      </c>
      <c r="O61" s="22">
        <v>1</v>
      </c>
      <c r="P61" s="22">
        <v>3</v>
      </c>
      <c r="Q61" s="23">
        <v>0.85709999999999997</v>
      </c>
      <c r="R61" s="22">
        <v>163.9</v>
      </c>
      <c r="S61" s="22">
        <v>11</v>
      </c>
      <c r="T61" s="22">
        <v>26</v>
      </c>
      <c r="U61" s="22">
        <v>27</v>
      </c>
      <c r="V61" s="23">
        <v>1.0385</v>
      </c>
      <c r="W61" s="22">
        <v>3.53</v>
      </c>
      <c r="X61" s="22">
        <v>4.3</v>
      </c>
      <c r="Y61" s="22">
        <v>3.6</v>
      </c>
      <c r="Z61" s="22">
        <v>7.5</v>
      </c>
      <c r="AA61" s="22">
        <v>8.6</v>
      </c>
      <c r="AB61" s="24">
        <v>55000</v>
      </c>
      <c r="AC61" s="22" t="s">
        <v>133</v>
      </c>
      <c r="AD61" s="25" t="s">
        <v>134</v>
      </c>
      <c r="AE61" s="22" t="s">
        <v>135</v>
      </c>
    </row>
    <row r="62" spans="1:31" ht="18" customHeight="1" x14ac:dyDescent="0.2">
      <c r="A62" s="26" t="s">
        <v>190</v>
      </c>
      <c r="B62" s="26" t="s">
        <v>191</v>
      </c>
      <c r="C62" s="26" t="s">
        <v>163</v>
      </c>
      <c r="D62" s="26" t="s">
        <v>192</v>
      </c>
      <c r="E62" s="26" t="s">
        <v>141</v>
      </c>
      <c r="F62" s="26" t="s">
        <v>142</v>
      </c>
      <c r="G62" s="26" t="s">
        <v>193</v>
      </c>
      <c r="H62" s="26" t="s">
        <v>167</v>
      </c>
      <c r="I62" s="26" t="s">
        <v>131</v>
      </c>
      <c r="J62" s="26" t="s">
        <v>132</v>
      </c>
      <c r="K62" s="26" t="s">
        <v>50</v>
      </c>
      <c r="L62" s="26">
        <v>20</v>
      </c>
      <c r="M62" s="26">
        <v>19</v>
      </c>
      <c r="N62" s="26">
        <v>0</v>
      </c>
      <c r="O62" s="26">
        <v>1</v>
      </c>
      <c r="P62" s="26">
        <v>1</v>
      </c>
      <c r="Q62" s="27">
        <v>0.95</v>
      </c>
      <c r="R62" s="26">
        <v>148.5</v>
      </c>
      <c r="S62" s="26">
        <v>9.6999999999999993</v>
      </c>
      <c r="T62" s="26">
        <v>33</v>
      </c>
      <c r="U62" s="26">
        <v>37</v>
      </c>
      <c r="V62" s="27">
        <v>1.1212</v>
      </c>
      <c r="W62" s="26">
        <v>4.5999999999999996</v>
      </c>
      <c r="X62" s="26">
        <v>3.2</v>
      </c>
      <c r="Y62" s="26">
        <v>3.7</v>
      </c>
      <c r="Z62" s="26">
        <v>8.1999999999999993</v>
      </c>
      <c r="AA62" s="26">
        <v>6.4</v>
      </c>
      <c r="AB62" s="28">
        <v>55000</v>
      </c>
      <c r="AC62" s="26" t="s">
        <v>133</v>
      </c>
      <c r="AD62" s="25" t="s">
        <v>134</v>
      </c>
      <c r="AE62" s="26" t="s">
        <v>135</v>
      </c>
    </row>
    <row r="63" spans="1:31" ht="18" customHeight="1" x14ac:dyDescent="0.2">
      <c r="A63" s="22" t="s">
        <v>194</v>
      </c>
      <c r="B63" s="22" t="s">
        <v>195</v>
      </c>
      <c r="C63" s="22" t="s">
        <v>125</v>
      </c>
      <c r="D63" s="22" t="s">
        <v>196</v>
      </c>
      <c r="E63" s="22" t="s">
        <v>197</v>
      </c>
      <c r="F63" s="22" t="s">
        <v>128</v>
      </c>
      <c r="G63" s="22" t="s">
        <v>198</v>
      </c>
      <c r="H63" s="22" t="s">
        <v>130</v>
      </c>
      <c r="I63" s="22" t="s">
        <v>131</v>
      </c>
      <c r="J63" s="22" t="s">
        <v>153</v>
      </c>
      <c r="K63" s="22" t="s">
        <v>32</v>
      </c>
      <c r="L63" s="22">
        <v>23</v>
      </c>
      <c r="M63" s="22">
        <v>19</v>
      </c>
      <c r="N63" s="22">
        <v>0</v>
      </c>
      <c r="O63" s="22">
        <v>4</v>
      </c>
      <c r="P63" s="22">
        <v>5</v>
      </c>
      <c r="Q63" s="23">
        <v>0.82609999999999995</v>
      </c>
      <c r="R63" s="22">
        <v>158</v>
      </c>
      <c r="S63" s="22">
        <v>5.5</v>
      </c>
      <c r="T63" s="22">
        <v>16</v>
      </c>
      <c r="U63" s="22">
        <v>18</v>
      </c>
      <c r="V63" s="23">
        <v>1.125</v>
      </c>
      <c r="W63" s="22">
        <v>4.2</v>
      </c>
      <c r="X63" s="22">
        <v>4.4000000000000004</v>
      </c>
      <c r="Y63" s="22">
        <v>3.2</v>
      </c>
      <c r="Z63" s="22">
        <v>8.3000000000000007</v>
      </c>
      <c r="AA63" s="22">
        <v>8.8000000000000007</v>
      </c>
      <c r="AB63" s="24">
        <v>35000</v>
      </c>
      <c r="AC63" s="22" t="s">
        <v>136</v>
      </c>
      <c r="AD63" s="29" t="s">
        <v>137</v>
      </c>
      <c r="AE63" s="22" t="s">
        <v>135</v>
      </c>
    </row>
    <row r="64" spans="1:31" ht="18" customHeight="1" x14ac:dyDescent="0.2">
      <c r="A64" s="26" t="s">
        <v>194</v>
      </c>
      <c r="B64" s="26" t="s">
        <v>195</v>
      </c>
      <c r="C64" s="26" t="s">
        <v>125</v>
      </c>
      <c r="D64" s="26" t="s">
        <v>196</v>
      </c>
      <c r="E64" s="26" t="s">
        <v>197</v>
      </c>
      <c r="F64" s="26" t="s">
        <v>128</v>
      </c>
      <c r="G64" s="26" t="s">
        <v>198</v>
      </c>
      <c r="H64" s="26" t="s">
        <v>130</v>
      </c>
      <c r="I64" s="26" t="s">
        <v>131</v>
      </c>
      <c r="J64" s="26" t="s">
        <v>153</v>
      </c>
      <c r="K64" s="26" t="s">
        <v>36</v>
      </c>
      <c r="L64" s="26">
        <v>20</v>
      </c>
      <c r="M64" s="26">
        <v>14</v>
      </c>
      <c r="N64" s="26">
        <v>2</v>
      </c>
      <c r="O64" s="26">
        <v>4</v>
      </c>
      <c r="P64" s="26">
        <v>3</v>
      </c>
      <c r="Q64" s="27">
        <v>0.7</v>
      </c>
      <c r="R64" s="26">
        <v>116.4</v>
      </c>
      <c r="S64" s="26">
        <v>6.8</v>
      </c>
      <c r="T64" s="26">
        <v>16</v>
      </c>
      <c r="U64" s="26">
        <v>14</v>
      </c>
      <c r="V64" s="27">
        <v>0.875</v>
      </c>
      <c r="W64" s="26">
        <v>4.5</v>
      </c>
      <c r="X64" s="26">
        <v>3.5</v>
      </c>
      <c r="Y64" s="26">
        <v>3.1</v>
      </c>
      <c r="Z64" s="26">
        <v>8.1</v>
      </c>
      <c r="AA64" s="26">
        <v>7</v>
      </c>
      <c r="AB64" s="28">
        <v>35000</v>
      </c>
      <c r="AC64" s="26" t="s">
        <v>136</v>
      </c>
      <c r="AD64" s="29" t="s">
        <v>137</v>
      </c>
      <c r="AE64" s="26" t="s">
        <v>135</v>
      </c>
    </row>
    <row r="65" spans="1:31" ht="18" customHeight="1" x14ac:dyDescent="0.2">
      <c r="A65" s="22" t="s">
        <v>194</v>
      </c>
      <c r="B65" s="22" t="s">
        <v>195</v>
      </c>
      <c r="C65" s="22" t="s">
        <v>125</v>
      </c>
      <c r="D65" s="22" t="s">
        <v>196</v>
      </c>
      <c r="E65" s="22" t="s">
        <v>197</v>
      </c>
      <c r="F65" s="22" t="s">
        <v>128</v>
      </c>
      <c r="G65" s="22" t="s">
        <v>198</v>
      </c>
      <c r="H65" s="22" t="s">
        <v>130</v>
      </c>
      <c r="I65" s="22" t="s">
        <v>131</v>
      </c>
      <c r="J65" s="22" t="s">
        <v>153</v>
      </c>
      <c r="K65" s="22" t="s">
        <v>40</v>
      </c>
      <c r="L65" s="22">
        <v>21</v>
      </c>
      <c r="M65" s="22">
        <v>20</v>
      </c>
      <c r="N65" s="22">
        <v>0</v>
      </c>
      <c r="O65" s="22">
        <v>1</v>
      </c>
      <c r="P65" s="22">
        <v>1</v>
      </c>
      <c r="Q65" s="23">
        <v>0.95240000000000002</v>
      </c>
      <c r="R65" s="22">
        <v>154.5</v>
      </c>
      <c r="S65" s="22">
        <v>11.3</v>
      </c>
      <c r="T65" s="22">
        <v>24</v>
      </c>
      <c r="U65" s="22">
        <v>16</v>
      </c>
      <c r="V65" s="23">
        <v>0.66669999999999996</v>
      </c>
      <c r="W65" s="22">
        <v>4.2</v>
      </c>
      <c r="X65" s="22">
        <v>4</v>
      </c>
      <c r="Y65" s="22">
        <v>4.5999999999999996</v>
      </c>
      <c r="Z65" s="22">
        <v>8.4</v>
      </c>
      <c r="AA65" s="22">
        <v>8</v>
      </c>
      <c r="AB65" s="24">
        <v>35000</v>
      </c>
      <c r="AC65" s="22" t="s">
        <v>133</v>
      </c>
      <c r="AD65" s="25" t="s">
        <v>134</v>
      </c>
      <c r="AE65" s="22" t="s">
        <v>135</v>
      </c>
    </row>
    <row r="66" spans="1:31" ht="18" customHeight="1" x14ac:dyDescent="0.2">
      <c r="A66" s="26" t="s">
        <v>194</v>
      </c>
      <c r="B66" s="26" t="s">
        <v>195</v>
      </c>
      <c r="C66" s="26" t="s">
        <v>125</v>
      </c>
      <c r="D66" s="26" t="s">
        <v>196</v>
      </c>
      <c r="E66" s="26" t="s">
        <v>197</v>
      </c>
      <c r="F66" s="26" t="s">
        <v>128</v>
      </c>
      <c r="G66" s="26" t="s">
        <v>198</v>
      </c>
      <c r="H66" s="26" t="s">
        <v>130</v>
      </c>
      <c r="I66" s="26" t="s">
        <v>131</v>
      </c>
      <c r="J66" s="26" t="s">
        <v>153</v>
      </c>
      <c r="K66" s="26" t="s">
        <v>44</v>
      </c>
      <c r="L66" s="26">
        <v>22</v>
      </c>
      <c r="M66" s="26">
        <v>17</v>
      </c>
      <c r="N66" s="26">
        <v>3</v>
      </c>
      <c r="O66" s="26">
        <v>2</v>
      </c>
      <c r="P66" s="26">
        <v>3</v>
      </c>
      <c r="Q66" s="27">
        <v>0.77270000000000005</v>
      </c>
      <c r="R66" s="26">
        <v>153.30000000000001</v>
      </c>
      <c r="S66" s="26">
        <v>5.9</v>
      </c>
      <c r="T66" s="26">
        <v>33</v>
      </c>
      <c r="U66" s="26">
        <v>34</v>
      </c>
      <c r="V66" s="27">
        <v>1.0303</v>
      </c>
      <c r="W66" s="26">
        <v>3.93</v>
      </c>
      <c r="X66" s="26">
        <v>4.4000000000000004</v>
      </c>
      <c r="Y66" s="26">
        <v>4.9000000000000004</v>
      </c>
      <c r="Z66" s="26">
        <v>8.3000000000000007</v>
      </c>
      <c r="AA66" s="26">
        <v>8.8000000000000007</v>
      </c>
      <c r="AB66" s="28">
        <v>35000</v>
      </c>
      <c r="AC66" s="26" t="s">
        <v>136</v>
      </c>
      <c r="AD66" s="29" t="s">
        <v>137</v>
      </c>
      <c r="AE66" s="26" t="s">
        <v>135</v>
      </c>
    </row>
    <row r="67" spans="1:31" ht="18" customHeight="1" x14ac:dyDescent="0.2">
      <c r="A67" s="22" t="s">
        <v>194</v>
      </c>
      <c r="B67" s="22" t="s">
        <v>195</v>
      </c>
      <c r="C67" s="22" t="s">
        <v>125</v>
      </c>
      <c r="D67" s="22" t="s">
        <v>196</v>
      </c>
      <c r="E67" s="22" t="s">
        <v>197</v>
      </c>
      <c r="F67" s="22" t="s">
        <v>128</v>
      </c>
      <c r="G67" s="22" t="s">
        <v>198</v>
      </c>
      <c r="H67" s="22" t="s">
        <v>130</v>
      </c>
      <c r="I67" s="22" t="s">
        <v>131</v>
      </c>
      <c r="J67" s="22" t="s">
        <v>153</v>
      </c>
      <c r="K67" s="22" t="s">
        <v>48</v>
      </c>
      <c r="L67" s="22">
        <v>21</v>
      </c>
      <c r="M67" s="22">
        <v>16</v>
      </c>
      <c r="N67" s="22">
        <v>1</v>
      </c>
      <c r="O67" s="22">
        <v>4</v>
      </c>
      <c r="P67" s="22">
        <v>2</v>
      </c>
      <c r="Q67" s="23">
        <v>0.76190000000000002</v>
      </c>
      <c r="R67" s="22">
        <v>137.80000000000001</v>
      </c>
      <c r="S67" s="22">
        <v>3.1</v>
      </c>
      <c r="T67" s="22">
        <v>20</v>
      </c>
      <c r="U67" s="22">
        <v>21</v>
      </c>
      <c r="V67" s="23">
        <v>1.05</v>
      </c>
      <c r="W67" s="22">
        <v>3.27</v>
      </c>
      <c r="X67" s="22">
        <v>4</v>
      </c>
      <c r="Y67" s="22">
        <v>3.6</v>
      </c>
      <c r="Z67" s="22">
        <v>7</v>
      </c>
      <c r="AA67" s="22">
        <v>8</v>
      </c>
      <c r="AB67" s="24">
        <v>35000</v>
      </c>
      <c r="AC67" s="22" t="s">
        <v>136</v>
      </c>
      <c r="AD67" s="29" t="s">
        <v>137</v>
      </c>
      <c r="AE67" s="22" t="s">
        <v>135</v>
      </c>
    </row>
    <row r="68" spans="1:31" ht="18" customHeight="1" x14ac:dyDescent="0.2">
      <c r="A68" s="26" t="s">
        <v>194</v>
      </c>
      <c r="B68" s="26" t="s">
        <v>195</v>
      </c>
      <c r="C68" s="26" t="s">
        <v>125</v>
      </c>
      <c r="D68" s="26" t="s">
        <v>196</v>
      </c>
      <c r="E68" s="26" t="s">
        <v>197</v>
      </c>
      <c r="F68" s="26" t="s">
        <v>128</v>
      </c>
      <c r="G68" s="26" t="s">
        <v>198</v>
      </c>
      <c r="H68" s="26" t="s">
        <v>130</v>
      </c>
      <c r="I68" s="26" t="s">
        <v>131</v>
      </c>
      <c r="J68" s="26" t="s">
        <v>153</v>
      </c>
      <c r="K68" s="26" t="s">
        <v>50</v>
      </c>
      <c r="L68" s="26">
        <v>20</v>
      </c>
      <c r="M68" s="26">
        <v>15</v>
      </c>
      <c r="N68" s="26">
        <v>2</v>
      </c>
      <c r="O68" s="26">
        <v>3</v>
      </c>
      <c r="P68" s="26">
        <v>5</v>
      </c>
      <c r="Q68" s="27">
        <v>0.75</v>
      </c>
      <c r="R68" s="26">
        <v>118.5</v>
      </c>
      <c r="S68" s="26">
        <v>17.2</v>
      </c>
      <c r="T68" s="26">
        <v>17</v>
      </c>
      <c r="U68" s="26">
        <v>14</v>
      </c>
      <c r="V68" s="27">
        <v>0.82350000000000001</v>
      </c>
      <c r="W68" s="26">
        <v>4.5</v>
      </c>
      <c r="X68" s="26">
        <v>4.2</v>
      </c>
      <c r="Y68" s="26">
        <v>4.9000000000000004</v>
      </c>
      <c r="Z68" s="26">
        <v>8.9</v>
      </c>
      <c r="AA68" s="26">
        <v>8.4</v>
      </c>
      <c r="AB68" s="28">
        <v>35000</v>
      </c>
      <c r="AC68" s="26" t="s">
        <v>136</v>
      </c>
      <c r="AD68" s="29" t="s">
        <v>137</v>
      </c>
      <c r="AE68" s="26" t="s">
        <v>145</v>
      </c>
    </row>
    <row r="69" spans="1:31" ht="18" customHeight="1" x14ac:dyDescent="0.2">
      <c r="A69" s="22" t="s">
        <v>199</v>
      </c>
      <c r="B69" s="22" t="s">
        <v>200</v>
      </c>
      <c r="C69" s="22" t="s">
        <v>148</v>
      </c>
      <c r="D69" s="22" t="s">
        <v>201</v>
      </c>
      <c r="E69" s="22" t="s">
        <v>150</v>
      </c>
      <c r="F69" s="22" t="s">
        <v>142</v>
      </c>
      <c r="G69" s="22" t="s">
        <v>202</v>
      </c>
      <c r="H69" s="22" t="s">
        <v>152</v>
      </c>
      <c r="I69" s="22" t="s">
        <v>131</v>
      </c>
      <c r="J69" s="22" t="s">
        <v>203</v>
      </c>
      <c r="K69" s="22" t="s">
        <v>32</v>
      </c>
      <c r="L69" s="22">
        <v>23</v>
      </c>
      <c r="M69" s="22">
        <v>20</v>
      </c>
      <c r="N69" s="22">
        <v>0</v>
      </c>
      <c r="O69" s="22">
        <v>3</v>
      </c>
      <c r="P69" s="22">
        <v>4</v>
      </c>
      <c r="Q69" s="23">
        <v>0.86960000000000004</v>
      </c>
      <c r="R69" s="22">
        <v>156.69999999999999</v>
      </c>
      <c r="S69" s="22">
        <v>3</v>
      </c>
      <c r="T69" s="22">
        <v>23</v>
      </c>
      <c r="U69" s="22">
        <v>16</v>
      </c>
      <c r="V69" s="23">
        <v>0.69569999999999999</v>
      </c>
      <c r="W69" s="22">
        <v>3.23</v>
      </c>
      <c r="X69" s="22">
        <v>4.4000000000000004</v>
      </c>
      <c r="Y69" s="22">
        <v>4.0999999999999996</v>
      </c>
      <c r="Z69" s="22">
        <v>7.3</v>
      </c>
      <c r="AA69" s="22">
        <v>8.8000000000000007</v>
      </c>
      <c r="AB69" s="24">
        <v>120000</v>
      </c>
      <c r="AC69" s="22" t="s">
        <v>136</v>
      </c>
      <c r="AD69" s="25" t="s">
        <v>134</v>
      </c>
      <c r="AE69" s="22" t="s">
        <v>135</v>
      </c>
    </row>
    <row r="70" spans="1:31" ht="18" customHeight="1" x14ac:dyDescent="0.2">
      <c r="A70" s="26" t="s">
        <v>199</v>
      </c>
      <c r="B70" s="26" t="s">
        <v>200</v>
      </c>
      <c r="C70" s="26" t="s">
        <v>148</v>
      </c>
      <c r="D70" s="26" t="s">
        <v>201</v>
      </c>
      <c r="E70" s="26" t="s">
        <v>150</v>
      </c>
      <c r="F70" s="26" t="s">
        <v>142</v>
      </c>
      <c r="G70" s="26" t="s">
        <v>202</v>
      </c>
      <c r="H70" s="26" t="s">
        <v>152</v>
      </c>
      <c r="I70" s="26" t="s">
        <v>131</v>
      </c>
      <c r="J70" s="26" t="s">
        <v>203</v>
      </c>
      <c r="K70" s="26" t="s">
        <v>36</v>
      </c>
      <c r="L70" s="26">
        <v>20</v>
      </c>
      <c r="M70" s="26">
        <v>16</v>
      </c>
      <c r="N70" s="26">
        <v>3</v>
      </c>
      <c r="O70" s="26">
        <v>1</v>
      </c>
      <c r="P70" s="26">
        <v>0</v>
      </c>
      <c r="Q70" s="27">
        <v>0.8</v>
      </c>
      <c r="R70" s="26">
        <v>132.1</v>
      </c>
      <c r="S70" s="26">
        <v>6.1</v>
      </c>
      <c r="T70" s="26">
        <v>27</v>
      </c>
      <c r="U70" s="26">
        <v>21</v>
      </c>
      <c r="V70" s="27">
        <v>0.77780000000000005</v>
      </c>
      <c r="W70" s="26">
        <v>3.57</v>
      </c>
      <c r="X70" s="26">
        <v>2.6</v>
      </c>
      <c r="Y70" s="26">
        <v>3.9</v>
      </c>
      <c r="Z70" s="26">
        <v>6.6</v>
      </c>
      <c r="AA70" s="26">
        <v>5.2</v>
      </c>
      <c r="AB70" s="28">
        <v>120000</v>
      </c>
      <c r="AC70" s="26" t="s">
        <v>136</v>
      </c>
      <c r="AD70" s="30" t="s">
        <v>204</v>
      </c>
      <c r="AE70" s="26" t="s">
        <v>154</v>
      </c>
    </row>
    <row r="71" spans="1:31" ht="18" customHeight="1" x14ac:dyDescent="0.2">
      <c r="A71" s="22" t="s">
        <v>199</v>
      </c>
      <c r="B71" s="22" t="s">
        <v>200</v>
      </c>
      <c r="C71" s="22" t="s">
        <v>148</v>
      </c>
      <c r="D71" s="22" t="s">
        <v>201</v>
      </c>
      <c r="E71" s="22" t="s">
        <v>150</v>
      </c>
      <c r="F71" s="22" t="s">
        <v>142</v>
      </c>
      <c r="G71" s="22" t="s">
        <v>202</v>
      </c>
      <c r="H71" s="22" t="s">
        <v>152</v>
      </c>
      <c r="I71" s="22" t="s">
        <v>131</v>
      </c>
      <c r="J71" s="22" t="s">
        <v>203</v>
      </c>
      <c r="K71" s="22" t="s">
        <v>40</v>
      </c>
      <c r="L71" s="22">
        <v>21</v>
      </c>
      <c r="M71" s="22">
        <v>17</v>
      </c>
      <c r="N71" s="22">
        <v>2</v>
      </c>
      <c r="O71" s="22">
        <v>2</v>
      </c>
      <c r="P71" s="22">
        <v>0</v>
      </c>
      <c r="Q71" s="23">
        <v>0.8095</v>
      </c>
      <c r="R71" s="22">
        <v>128.69999999999999</v>
      </c>
      <c r="S71" s="22">
        <v>19.2</v>
      </c>
      <c r="T71" s="22">
        <v>33</v>
      </c>
      <c r="U71" s="22">
        <v>21</v>
      </c>
      <c r="V71" s="23">
        <v>0.63639999999999997</v>
      </c>
      <c r="W71" s="22">
        <v>4.17</v>
      </c>
      <c r="X71" s="22">
        <v>2.6</v>
      </c>
      <c r="Y71" s="22">
        <v>4.5</v>
      </c>
      <c r="Z71" s="22">
        <v>7.5</v>
      </c>
      <c r="AA71" s="22">
        <v>5.2</v>
      </c>
      <c r="AB71" s="24">
        <v>120000</v>
      </c>
      <c r="AC71" s="22" t="s">
        <v>136</v>
      </c>
      <c r="AD71" s="29" t="s">
        <v>137</v>
      </c>
      <c r="AE71" s="22" t="s">
        <v>135</v>
      </c>
    </row>
    <row r="72" spans="1:31" ht="18" customHeight="1" x14ac:dyDescent="0.2">
      <c r="A72" s="26" t="s">
        <v>199</v>
      </c>
      <c r="B72" s="26" t="s">
        <v>200</v>
      </c>
      <c r="C72" s="26" t="s">
        <v>148</v>
      </c>
      <c r="D72" s="26" t="s">
        <v>201</v>
      </c>
      <c r="E72" s="26" t="s">
        <v>150</v>
      </c>
      <c r="F72" s="26" t="s">
        <v>142</v>
      </c>
      <c r="G72" s="26" t="s">
        <v>202</v>
      </c>
      <c r="H72" s="26" t="s">
        <v>152</v>
      </c>
      <c r="I72" s="26" t="s">
        <v>131</v>
      </c>
      <c r="J72" s="26" t="s">
        <v>203</v>
      </c>
      <c r="K72" s="26" t="s">
        <v>44</v>
      </c>
      <c r="L72" s="26">
        <v>22</v>
      </c>
      <c r="M72" s="26">
        <v>19</v>
      </c>
      <c r="N72" s="26">
        <v>3</v>
      </c>
      <c r="O72" s="26">
        <v>0</v>
      </c>
      <c r="P72" s="26">
        <v>2</v>
      </c>
      <c r="Q72" s="27">
        <v>0.86360000000000003</v>
      </c>
      <c r="R72" s="26">
        <v>147.4</v>
      </c>
      <c r="S72" s="26">
        <v>11.7</v>
      </c>
      <c r="T72" s="26">
        <v>35</v>
      </c>
      <c r="U72" s="26">
        <v>37</v>
      </c>
      <c r="V72" s="27">
        <v>1.0570999999999999</v>
      </c>
      <c r="W72" s="26">
        <v>4.0999999999999996</v>
      </c>
      <c r="X72" s="26">
        <v>3.3</v>
      </c>
      <c r="Y72" s="26">
        <v>3.2</v>
      </c>
      <c r="Z72" s="26">
        <v>7.5</v>
      </c>
      <c r="AA72" s="26">
        <v>6.6</v>
      </c>
      <c r="AB72" s="28">
        <v>120000</v>
      </c>
      <c r="AC72" s="26" t="s">
        <v>133</v>
      </c>
      <c r="AD72" s="25" t="s">
        <v>134</v>
      </c>
      <c r="AE72" s="26" t="s">
        <v>135</v>
      </c>
    </row>
    <row r="73" spans="1:31" ht="18" customHeight="1" x14ac:dyDescent="0.2">
      <c r="A73" s="22" t="s">
        <v>199</v>
      </c>
      <c r="B73" s="22" t="s">
        <v>200</v>
      </c>
      <c r="C73" s="22" t="s">
        <v>148</v>
      </c>
      <c r="D73" s="22" t="s">
        <v>201</v>
      </c>
      <c r="E73" s="22" t="s">
        <v>150</v>
      </c>
      <c r="F73" s="22" t="s">
        <v>142</v>
      </c>
      <c r="G73" s="22" t="s">
        <v>202</v>
      </c>
      <c r="H73" s="22" t="s">
        <v>152</v>
      </c>
      <c r="I73" s="22" t="s">
        <v>131</v>
      </c>
      <c r="J73" s="22" t="s">
        <v>203</v>
      </c>
      <c r="K73" s="22" t="s">
        <v>48</v>
      </c>
      <c r="L73" s="22">
        <v>21</v>
      </c>
      <c r="M73" s="22">
        <v>16</v>
      </c>
      <c r="N73" s="22">
        <v>2</v>
      </c>
      <c r="O73" s="22">
        <v>3</v>
      </c>
      <c r="P73" s="22">
        <v>3</v>
      </c>
      <c r="Q73" s="23">
        <v>0.76190000000000002</v>
      </c>
      <c r="R73" s="22">
        <v>138.80000000000001</v>
      </c>
      <c r="S73" s="22">
        <v>5.8</v>
      </c>
      <c r="T73" s="22">
        <v>27</v>
      </c>
      <c r="U73" s="22">
        <v>30</v>
      </c>
      <c r="V73" s="23">
        <v>1.1111</v>
      </c>
      <c r="W73" s="22">
        <v>3.43</v>
      </c>
      <c r="X73" s="22">
        <v>3.1</v>
      </c>
      <c r="Y73" s="22">
        <v>3.2</v>
      </c>
      <c r="Z73" s="22">
        <v>6.6</v>
      </c>
      <c r="AA73" s="22">
        <v>6.2</v>
      </c>
      <c r="AB73" s="24">
        <v>120000</v>
      </c>
      <c r="AC73" s="22" t="s">
        <v>136</v>
      </c>
      <c r="AD73" s="30" t="s">
        <v>204</v>
      </c>
      <c r="AE73" s="22" t="s">
        <v>154</v>
      </c>
    </row>
    <row r="74" spans="1:31" ht="18" customHeight="1" x14ac:dyDescent="0.2">
      <c r="A74" s="26" t="s">
        <v>199</v>
      </c>
      <c r="B74" s="26" t="s">
        <v>200</v>
      </c>
      <c r="C74" s="26" t="s">
        <v>148</v>
      </c>
      <c r="D74" s="26" t="s">
        <v>201</v>
      </c>
      <c r="E74" s="26" t="s">
        <v>150</v>
      </c>
      <c r="F74" s="26" t="s">
        <v>142</v>
      </c>
      <c r="G74" s="26" t="s">
        <v>202</v>
      </c>
      <c r="H74" s="26" t="s">
        <v>152</v>
      </c>
      <c r="I74" s="26" t="s">
        <v>131</v>
      </c>
      <c r="J74" s="26" t="s">
        <v>203</v>
      </c>
      <c r="K74" s="26" t="s">
        <v>50</v>
      </c>
      <c r="L74" s="26">
        <v>20</v>
      </c>
      <c r="M74" s="26">
        <v>20</v>
      </c>
      <c r="N74" s="26">
        <v>0</v>
      </c>
      <c r="O74" s="26">
        <v>0</v>
      </c>
      <c r="P74" s="26">
        <v>4</v>
      </c>
      <c r="Q74" s="27">
        <v>1</v>
      </c>
      <c r="R74" s="26">
        <v>174.7</v>
      </c>
      <c r="S74" s="26">
        <v>0</v>
      </c>
      <c r="T74" s="26">
        <v>32</v>
      </c>
      <c r="U74" s="26">
        <v>34</v>
      </c>
      <c r="V74" s="27">
        <v>1.0625</v>
      </c>
      <c r="W74" s="26">
        <v>3.53</v>
      </c>
      <c r="X74" s="26">
        <v>4.4000000000000004</v>
      </c>
      <c r="Y74" s="26">
        <v>4.3</v>
      </c>
      <c r="Z74" s="26">
        <v>7.7</v>
      </c>
      <c r="AA74" s="26">
        <v>8.8000000000000007</v>
      </c>
      <c r="AB74" s="28">
        <v>120000</v>
      </c>
      <c r="AC74" s="26" t="s">
        <v>133</v>
      </c>
      <c r="AD74" s="25" t="s">
        <v>134</v>
      </c>
      <c r="AE74" s="26" t="s">
        <v>135</v>
      </c>
    </row>
    <row r="75" spans="1:31" ht="18" customHeight="1" x14ac:dyDescent="0.2">
      <c r="A75" s="22" t="s">
        <v>205</v>
      </c>
      <c r="B75" s="22" t="s">
        <v>206</v>
      </c>
      <c r="C75" s="22" t="s">
        <v>171</v>
      </c>
      <c r="D75" s="22" t="s">
        <v>207</v>
      </c>
      <c r="E75" s="22" t="s">
        <v>165</v>
      </c>
      <c r="F75" s="22" t="s">
        <v>128</v>
      </c>
      <c r="G75" s="22" t="s">
        <v>208</v>
      </c>
      <c r="H75" s="22" t="s">
        <v>175</v>
      </c>
      <c r="I75" s="22" t="s">
        <v>131</v>
      </c>
      <c r="J75" s="22" t="s">
        <v>203</v>
      </c>
      <c r="K75" s="22" t="s">
        <v>32</v>
      </c>
      <c r="L75" s="22">
        <v>23</v>
      </c>
      <c r="M75" s="22">
        <v>23</v>
      </c>
      <c r="N75" s="22">
        <v>0</v>
      </c>
      <c r="O75" s="22">
        <v>0</v>
      </c>
      <c r="P75" s="22">
        <v>1</v>
      </c>
      <c r="Q75" s="23">
        <v>1</v>
      </c>
      <c r="R75" s="22">
        <v>182</v>
      </c>
      <c r="S75" s="22">
        <v>2.6</v>
      </c>
      <c r="T75" s="22">
        <v>24</v>
      </c>
      <c r="U75" s="22">
        <v>22</v>
      </c>
      <c r="V75" s="23">
        <v>0.91669999999999996</v>
      </c>
      <c r="W75" s="22">
        <v>3.8</v>
      </c>
      <c r="X75" s="22">
        <v>4.0999999999999996</v>
      </c>
      <c r="Y75" s="22">
        <v>4.5999999999999996</v>
      </c>
      <c r="Z75" s="22">
        <v>7.9</v>
      </c>
      <c r="AA75" s="22">
        <v>8.1999999999999993</v>
      </c>
      <c r="AB75" s="24">
        <v>120000</v>
      </c>
      <c r="AC75" s="22" t="s">
        <v>133</v>
      </c>
      <c r="AD75" s="25" t="s">
        <v>134</v>
      </c>
      <c r="AE75" s="22" t="s">
        <v>135</v>
      </c>
    </row>
    <row r="76" spans="1:31" ht="18" customHeight="1" x14ac:dyDescent="0.2">
      <c r="A76" s="26" t="s">
        <v>205</v>
      </c>
      <c r="B76" s="26" t="s">
        <v>206</v>
      </c>
      <c r="C76" s="26" t="s">
        <v>171</v>
      </c>
      <c r="D76" s="26" t="s">
        <v>207</v>
      </c>
      <c r="E76" s="26" t="s">
        <v>165</v>
      </c>
      <c r="F76" s="26" t="s">
        <v>128</v>
      </c>
      <c r="G76" s="26" t="s">
        <v>208</v>
      </c>
      <c r="H76" s="26" t="s">
        <v>175</v>
      </c>
      <c r="I76" s="26" t="s">
        <v>131</v>
      </c>
      <c r="J76" s="26" t="s">
        <v>203</v>
      </c>
      <c r="K76" s="26" t="s">
        <v>36</v>
      </c>
      <c r="L76" s="26">
        <v>20</v>
      </c>
      <c r="M76" s="26">
        <v>19</v>
      </c>
      <c r="N76" s="26">
        <v>0</v>
      </c>
      <c r="O76" s="26">
        <v>1</v>
      </c>
      <c r="P76" s="26">
        <v>2</v>
      </c>
      <c r="Q76" s="27">
        <v>0.95</v>
      </c>
      <c r="R76" s="26">
        <v>158.5</v>
      </c>
      <c r="S76" s="26">
        <v>11</v>
      </c>
      <c r="T76" s="26">
        <v>17</v>
      </c>
      <c r="U76" s="26">
        <v>14</v>
      </c>
      <c r="V76" s="27">
        <v>0.82350000000000001</v>
      </c>
      <c r="W76" s="26">
        <v>4.5</v>
      </c>
      <c r="X76" s="26">
        <v>2.8</v>
      </c>
      <c r="Y76" s="26">
        <v>4.7</v>
      </c>
      <c r="Z76" s="26">
        <v>8</v>
      </c>
      <c r="AA76" s="26">
        <v>5.6</v>
      </c>
      <c r="AB76" s="28">
        <v>120000</v>
      </c>
      <c r="AC76" s="26" t="s">
        <v>133</v>
      </c>
      <c r="AD76" s="25" t="s">
        <v>134</v>
      </c>
      <c r="AE76" s="26" t="s">
        <v>135</v>
      </c>
    </row>
    <row r="77" spans="1:31" ht="18" customHeight="1" x14ac:dyDescent="0.2">
      <c r="A77" s="22" t="s">
        <v>205</v>
      </c>
      <c r="B77" s="22" t="s">
        <v>206</v>
      </c>
      <c r="C77" s="22" t="s">
        <v>171</v>
      </c>
      <c r="D77" s="22" t="s">
        <v>207</v>
      </c>
      <c r="E77" s="22" t="s">
        <v>165</v>
      </c>
      <c r="F77" s="22" t="s">
        <v>128</v>
      </c>
      <c r="G77" s="22" t="s">
        <v>208</v>
      </c>
      <c r="H77" s="22" t="s">
        <v>175</v>
      </c>
      <c r="I77" s="22" t="s">
        <v>131</v>
      </c>
      <c r="J77" s="22" t="s">
        <v>203</v>
      </c>
      <c r="K77" s="22" t="s">
        <v>40</v>
      </c>
      <c r="L77" s="22">
        <v>21</v>
      </c>
      <c r="M77" s="22">
        <v>18</v>
      </c>
      <c r="N77" s="22">
        <v>2</v>
      </c>
      <c r="O77" s="22">
        <v>1</v>
      </c>
      <c r="P77" s="22">
        <v>4</v>
      </c>
      <c r="Q77" s="23">
        <v>0.85709999999999997</v>
      </c>
      <c r="R77" s="22">
        <v>155.19999999999999</v>
      </c>
      <c r="S77" s="22">
        <v>8.3000000000000007</v>
      </c>
      <c r="T77" s="22">
        <v>30</v>
      </c>
      <c r="U77" s="22">
        <v>34</v>
      </c>
      <c r="V77" s="23">
        <v>1.1333</v>
      </c>
      <c r="W77" s="22">
        <v>3.7</v>
      </c>
      <c r="X77" s="22">
        <v>4.8</v>
      </c>
      <c r="Y77" s="22">
        <v>4</v>
      </c>
      <c r="Z77" s="22">
        <v>8.1</v>
      </c>
      <c r="AA77" s="22">
        <v>9.6</v>
      </c>
      <c r="AB77" s="24">
        <v>120000</v>
      </c>
      <c r="AC77" s="22" t="s">
        <v>133</v>
      </c>
      <c r="AD77" s="25" t="s">
        <v>134</v>
      </c>
      <c r="AE77" s="22" t="s">
        <v>135</v>
      </c>
    </row>
    <row r="78" spans="1:31" ht="18" customHeight="1" x14ac:dyDescent="0.2">
      <c r="A78" s="26" t="s">
        <v>205</v>
      </c>
      <c r="B78" s="26" t="s">
        <v>206</v>
      </c>
      <c r="C78" s="26" t="s">
        <v>171</v>
      </c>
      <c r="D78" s="26" t="s">
        <v>207</v>
      </c>
      <c r="E78" s="26" t="s">
        <v>165</v>
      </c>
      <c r="F78" s="26" t="s">
        <v>128</v>
      </c>
      <c r="G78" s="26" t="s">
        <v>208</v>
      </c>
      <c r="H78" s="26" t="s">
        <v>175</v>
      </c>
      <c r="I78" s="26" t="s">
        <v>131</v>
      </c>
      <c r="J78" s="26" t="s">
        <v>203</v>
      </c>
      <c r="K78" s="26" t="s">
        <v>44</v>
      </c>
      <c r="L78" s="26">
        <v>22</v>
      </c>
      <c r="M78" s="26">
        <v>17</v>
      </c>
      <c r="N78" s="26">
        <v>0</v>
      </c>
      <c r="O78" s="26">
        <v>5</v>
      </c>
      <c r="P78" s="26">
        <v>2</v>
      </c>
      <c r="Q78" s="27">
        <v>0.77270000000000005</v>
      </c>
      <c r="R78" s="26">
        <v>149.19999999999999</v>
      </c>
      <c r="S78" s="26">
        <v>17.100000000000001</v>
      </c>
      <c r="T78" s="26">
        <v>25</v>
      </c>
      <c r="U78" s="26">
        <v>28</v>
      </c>
      <c r="V78" s="27">
        <v>1.1200000000000001</v>
      </c>
      <c r="W78" s="26">
        <v>3.93</v>
      </c>
      <c r="X78" s="26">
        <v>3.2</v>
      </c>
      <c r="Y78" s="26">
        <v>4.2</v>
      </c>
      <c r="Z78" s="26">
        <v>7.5</v>
      </c>
      <c r="AA78" s="26">
        <v>6.4</v>
      </c>
      <c r="AB78" s="28">
        <v>120000</v>
      </c>
      <c r="AC78" s="26" t="s">
        <v>136</v>
      </c>
      <c r="AD78" s="29" t="s">
        <v>137</v>
      </c>
      <c r="AE78" s="26" t="s">
        <v>135</v>
      </c>
    </row>
    <row r="79" spans="1:31" ht="18" customHeight="1" x14ac:dyDescent="0.2">
      <c r="A79" s="22" t="s">
        <v>205</v>
      </c>
      <c r="B79" s="22" t="s">
        <v>206</v>
      </c>
      <c r="C79" s="22" t="s">
        <v>171</v>
      </c>
      <c r="D79" s="22" t="s">
        <v>207</v>
      </c>
      <c r="E79" s="22" t="s">
        <v>165</v>
      </c>
      <c r="F79" s="22" t="s">
        <v>128</v>
      </c>
      <c r="G79" s="22" t="s">
        <v>208</v>
      </c>
      <c r="H79" s="22" t="s">
        <v>175</v>
      </c>
      <c r="I79" s="22" t="s">
        <v>131</v>
      </c>
      <c r="J79" s="22" t="s">
        <v>203</v>
      </c>
      <c r="K79" s="22" t="s">
        <v>48</v>
      </c>
      <c r="L79" s="22">
        <v>21</v>
      </c>
      <c r="M79" s="22">
        <v>20</v>
      </c>
      <c r="N79" s="22">
        <v>1</v>
      </c>
      <c r="O79" s="22">
        <v>0</v>
      </c>
      <c r="P79" s="22">
        <v>1</v>
      </c>
      <c r="Q79" s="23">
        <v>0.95240000000000002</v>
      </c>
      <c r="R79" s="22">
        <v>163.4</v>
      </c>
      <c r="S79" s="22">
        <v>9.6999999999999993</v>
      </c>
      <c r="T79" s="22">
        <v>25</v>
      </c>
      <c r="U79" s="22">
        <v>24</v>
      </c>
      <c r="V79" s="23">
        <v>0.96</v>
      </c>
      <c r="W79" s="22">
        <v>4.37</v>
      </c>
      <c r="X79" s="22">
        <v>4.7</v>
      </c>
      <c r="Y79" s="22">
        <v>5</v>
      </c>
      <c r="Z79" s="22">
        <v>9.1</v>
      </c>
      <c r="AA79" s="22">
        <v>9.4</v>
      </c>
      <c r="AB79" s="24">
        <v>120000</v>
      </c>
      <c r="AC79" s="22" t="s">
        <v>133</v>
      </c>
      <c r="AD79" s="25" t="s">
        <v>134</v>
      </c>
      <c r="AE79" s="22" t="s">
        <v>145</v>
      </c>
    </row>
    <row r="80" spans="1:31" ht="18" customHeight="1" x14ac:dyDescent="0.2">
      <c r="A80" s="26" t="s">
        <v>205</v>
      </c>
      <c r="B80" s="26" t="s">
        <v>206</v>
      </c>
      <c r="C80" s="26" t="s">
        <v>171</v>
      </c>
      <c r="D80" s="26" t="s">
        <v>207</v>
      </c>
      <c r="E80" s="26" t="s">
        <v>165</v>
      </c>
      <c r="F80" s="26" t="s">
        <v>128</v>
      </c>
      <c r="G80" s="26" t="s">
        <v>208</v>
      </c>
      <c r="H80" s="26" t="s">
        <v>175</v>
      </c>
      <c r="I80" s="26" t="s">
        <v>131</v>
      </c>
      <c r="J80" s="26" t="s">
        <v>203</v>
      </c>
      <c r="K80" s="26" t="s">
        <v>50</v>
      </c>
      <c r="L80" s="26">
        <v>20</v>
      </c>
      <c r="M80" s="26">
        <v>15</v>
      </c>
      <c r="N80" s="26">
        <v>3</v>
      </c>
      <c r="O80" s="26">
        <v>2</v>
      </c>
      <c r="P80" s="26">
        <v>1</v>
      </c>
      <c r="Q80" s="27">
        <v>0.75</v>
      </c>
      <c r="R80" s="26">
        <v>135.69999999999999</v>
      </c>
      <c r="S80" s="26">
        <v>8.1999999999999993</v>
      </c>
      <c r="T80" s="26">
        <v>25</v>
      </c>
      <c r="U80" s="26">
        <v>27</v>
      </c>
      <c r="V80" s="27">
        <v>1.08</v>
      </c>
      <c r="W80" s="26">
        <v>4.07</v>
      </c>
      <c r="X80" s="26">
        <v>5</v>
      </c>
      <c r="Y80" s="26">
        <v>4.5999999999999996</v>
      </c>
      <c r="Z80" s="26">
        <v>8.8000000000000007</v>
      </c>
      <c r="AA80" s="26">
        <v>10</v>
      </c>
      <c r="AB80" s="28">
        <v>120000</v>
      </c>
      <c r="AC80" s="26" t="s">
        <v>136</v>
      </c>
      <c r="AD80" s="29" t="s">
        <v>137</v>
      </c>
      <c r="AE80" s="26" t="s">
        <v>145</v>
      </c>
    </row>
    <row r="81" spans="1:31" ht="18" customHeight="1" x14ac:dyDescent="0.2">
      <c r="A81" s="22" t="s">
        <v>209</v>
      </c>
      <c r="B81" s="22" t="s">
        <v>210</v>
      </c>
      <c r="C81" s="22" t="s">
        <v>182</v>
      </c>
      <c r="D81" s="22" t="s">
        <v>211</v>
      </c>
      <c r="E81" s="22" t="s">
        <v>127</v>
      </c>
      <c r="F81" s="22" t="s">
        <v>142</v>
      </c>
      <c r="G81" s="22" t="s">
        <v>212</v>
      </c>
      <c r="H81" s="22" t="s">
        <v>185</v>
      </c>
      <c r="I81" s="22" t="s">
        <v>131</v>
      </c>
      <c r="J81" s="22" t="s">
        <v>132</v>
      </c>
      <c r="K81" s="22" t="s">
        <v>32</v>
      </c>
      <c r="L81" s="22">
        <v>23</v>
      </c>
      <c r="M81" s="22">
        <v>22</v>
      </c>
      <c r="N81" s="22">
        <v>0</v>
      </c>
      <c r="O81" s="22">
        <v>1</v>
      </c>
      <c r="P81" s="22">
        <v>3</v>
      </c>
      <c r="Q81" s="23">
        <v>0.95650000000000002</v>
      </c>
      <c r="R81" s="22">
        <v>194.9</v>
      </c>
      <c r="S81" s="22">
        <v>2.5</v>
      </c>
      <c r="T81" s="22">
        <v>33</v>
      </c>
      <c r="U81" s="22">
        <v>31</v>
      </c>
      <c r="V81" s="23">
        <v>0.93940000000000001</v>
      </c>
      <c r="W81" s="22">
        <v>4.33</v>
      </c>
      <c r="X81" s="22">
        <v>3.8</v>
      </c>
      <c r="Y81" s="22">
        <v>3.9</v>
      </c>
      <c r="Z81" s="22">
        <v>8.3000000000000007</v>
      </c>
      <c r="AA81" s="22">
        <v>7.6</v>
      </c>
      <c r="AB81" s="24">
        <v>55000</v>
      </c>
      <c r="AC81" s="22" t="s">
        <v>133</v>
      </c>
      <c r="AD81" s="25" t="s">
        <v>134</v>
      </c>
      <c r="AE81" s="22" t="s">
        <v>135</v>
      </c>
    </row>
    <row r="82" spans="1:31" ht="18" customHeight="1" x14ac:dyDescent="0.2">
      <c r="A82" s="26" t="s">
        <v>209</v>
      </c>
      <c r="B82" s="26" t="s">
        <v>210</v>
      </c>
      <c r="C82" s="26" t="s">
        <v>182</v>
      </c>
      <c r="D82" s="26" t="s">
        <v>211</v>
      </c>
      <c r="E82" s="26" t="s">
        <v>127</v>
      </c>
      <c r="F82" s="26" t="s">
        <v>142</v>
      </c>
      <c r="G82" s="26" t="s">
        <v>212</v>
      </c>
      <c r="H82" s="26" t="s">
        <v>185</v>
      </c>
      <c r="I82" s="26" t="s">
        <v>131</v>
      </c>
      <c r="J82" s="26" t="s">
        <v>132</v>
      </c>
      <c r="K82" s="26" t="s">
        <v>36</v>
      </c>
      <c r="L82" s="26">
        <v>20</v>
      </c>
      <c r="M82" s="26">
        <v>19</v>
      </c>
      <c r="N82" s="26">
        <v>0</v>
      </c>
      <c r="O82" s="26">
        <v>1</v>
      </c>
      <c r="P82" s="26">
        <v>3</v>
      </c>
      <c r="Q82" s="27">
        <v>0.95</v>
      </c>
      <c r="R82" s="26">
        <v>168.1</v>
      </c>
      <c r="S82" s="26">
        <v>19.399999999999999</v>
      </c>
      <c r="T82" s="26">
        <v>17</v>
      </c>
      <c r="U82" s="26">
        <v>18</v>
      </c>
      <c r="V82" s="27">
        <v>1.0588</v>
      </c>
      <c r="W82" s="26">
        <v>4.07</v>
      </c>
      <c r="X82" s="26">
        <v>3.5</v>
      </c>
      <c r="Y82" s="26">
        <v>3.2</v>
      </c>
      <c r="Z82" s="26">
        <v>7.6</v>
      </c>
      <c r="AA82" s="26">
        <v>7</v>
      </c>
      <c r="AB82" s="28">
        <v>55000</v>
      </c>
      <c r="AC82" s="26" t="s">
        <v>133</v>
      </c>
      <c r="AD82" s="25" t="s">
        <v>134</v>
      </c>
      <c r="AE82" s="26" t="s">
        <v>135</v>
      </c>
    </row>
    <row r="83" spans="1:31" ht="18" customHeight="1" x14ac:dyDescent="0.2">
      <c r="A83" s="22" t="s">
        <v>209</v>
      </c>
      <c r="B83" s="22" t="s">
        <v>210</v>
      </c>
      <c r="C83" s="22" t="s">
        <v>182</v>
      </c>
      <c r="D83" s="22" t="s">
        <v>211</v>
      </c>
      <c r="E83" s="22" t="s">
        <v>127</v>
      </c>
      <c r="F83" s="22" t="s">
        <v>142</v>
      </c>
      <c r="G83" s="22" t="s">
        <v>212</v>
      </c>
      <c r="H83" s="22" t="s">
        <v>185</v>
      </c>
      <c r="I83" s="22" t="s">
        <v>131</v>
      </c>
      <c r="J83" s="22" t="s">
        <v>132</v>
      </c>
      <c r="K83" s="22" t="s">
        <v>40</v>
      </c>
      <c r="L83" s="22">
        <v>21</v>
      </c>
      <c r="M83" s="22">
        <v>17</v>
      </c>
      <c r="N83" s="22">
        <v>3</v>
      </c>
      <c r="O83" s="22">
        <v>1</v>
      </c>
      <c r="P83" s="22">
        <v>2</v>
      </c>
      <c r="Q83" s="23">
        <v>0.8095</v>
      </c>
      <c r="R83" s="22">
        <v>144.80000000000001</v>
      </c>
      <c r="S83" s="22">
        <v>17.7</v>
      </c>
      <c r="T83" s="22">
        <v>30</v>
      </c>
      <c r="U83" s="22">
        <v>20</v>
      </c>
      <c r="V83" s="23">
        <v>0.66669999999999996</v>
      </c>
      <c r="W83" s="22">
        <v>3.97</v>
      </c>
      <c r="X83" s="22">
        <v>3.2</v>
      </c>
      <c r="Y83" s="22">
        <v>3.5</v>
      </c>
      <c r="Z83" s="22">
        <v>7.4</v>
      </c>
      <c r="AA83" s="22">
        <v>6.4</v>
      </c>
      <c r="AB83" s="24">
        <v>55000</v>
      </c>
      <c r="AC83" s="22" t="s">
        <v>136</v>
      </c>
      <c r="AD83" s="29" t="s">
        <v>137</v>
      </c>
      <c r="AE83" s="22" t="s">
        <v>135</v>
      </c>
    </row>
    <row r="84" spans="1:31" ht="18" customHeight="1" x14ac:dyDescent="0.2">
      <c r="A84" s="26" t="s">
        <v>209</v>
      </c>
      <c r="B84" s="26" t="s">
        <v>210</v>
      </c>
      <c r="C84" s="26" t="s">
        <v>182</v>
      </c>
      <c r="D84" s="26" t="s">
        <v>211</v>
      </c>
      <c r="E84" s="26" t="s">
        <v>127</v>
      </c>
      <c r="F84" s="26" t="s">
        <v>142</v>
      </c>
      <c r="G84" s="26" t="s">
        <v>212</v>
      </c>
      <c r="H84" s="26" t="s">
        <v>185</v>
      </c>
      <c r="I84" s="26" t="s">
        <v>131</v>
      </c>
      <c r="J84" s="26" t="s">
        <v>132</v>
      </c>
      <c r="K84" s="26" t="s">
        <v>44</v>
      </c>
      <c r="L84" s="26">
        <v>22</v>
      </c>
      <c r="M84" s="26">
        <v>16</v>
      </c>
      <c r="N84" s="26">
        <v>3</v>
      </c>
      <c r="O84" s="26">
        <v>3</v>
      </c>
      <c r="P84" s="26">
        <v>0</v>
      </c>
      <c r="Q84" s="27">
        <v>0.72729999999999995</v>
      </c>
      <c r="R84" s="26">
        <v>140.80000000000001</v>
      </c>
      <c r="S84" s="26">
        <v>14.1</v>
      </c>
      <c r="T84" s="26">
        <v>18</v>
      </c>
      <c r="U84" s="26">
        <v>18</v>
      </c>
      <c r="V84" s="27">
        <v>1</v>
      </c>
      <c r="W84" s="26">
        <v>3.17</v>
      </c>
      <c r="X84" s="26">
        <v>3.3</v>
      </c>
      <c r="Y84" s="26">
        <v>3.1</v>
      </c>
      <c r="Z84" s="26">
        <v>6.4</v>
      </c>
      <c r="AA84" s="26">
        <v>6.6</v>
      </c>
      <c r="AB84" s="28">
        <v>55000</v>
      </c>
      <c r="AC84" s="26" t="s">
        <v>136</v>
      </c>
      <c r="AD84" s="30" t="s">
        <v>204</v>
      </c>
      <c r="AE84" s="26" t="s">
        <v>154</v>
      </c>
    </row>
    <row r="85" spans="1:31" ht="18" customHeight="1" x14ac:dyDescent="0.2">
      <c r="A85" s="22" t="s">
        <v>209</v>
      </c>
      <c r="B85" s="22" t="s">
        <v>210</v>
      </c>
      <c r="C85" s="22" t="s">
        <v>182</v>
      </c>
      <c r="D85" s="22" t="s">
        <v>211</v>
      </c>
      <c r="E85" s="22" t="s">
        <v>127</v>
      </c>
      <c r="F85" s="22" t="s">
        <v>142</v>
      </c>
      <c r="G85" s="22" t="s">
        <v>212</v>
      </c>
      <c r="H85" s="22" t="s">
        <v>185</v>
      </c>
      <c r="I85" s="22" t="s">
        <v>131</v>
      </c>
      <c r="J85" s="22" t="s">
        <v>132</v>
      </c>
      <c r="K85" s="22" t="s">
        <v>48</v>
      </c>
      <c r="L85" s="22">
        <v>21</v>
      </c>
      <c r="M85" s="22">
        <v>17</v>
      </c>
      <c r="N85" s="22">
        <v>2</v>
      </c>
      <c r="O85" s="22">
        <v>2</v>
      </c>
      <c r="P85" s="22">
        <v>3</v>
      </c>
      <c r="Q85" s="23">
        <v>0.8095</v>
      </c>
      <c r="R85" s="22">
        <v>130.4</v>
      </c>
      <c r="S85" s="22">
        <v>10.6</v>
      </c>
      <c r="T85" s="22">
        <v>33</v>
      </c>
      <c r="U85" s="22">
        <v>26</v>
      </c>
      <c r="V85" s="23">
        <v>0.78790000000000004</v>
      </c>
      <c r="W85" s="22">
        <v>3.73</v>
      </c>
      <c r="X85" s="22">
        <v>4</v>
      </c>
      <c r="Y85" s="22">
        <v>3.5</v>
      </c>
      <c r="Z85" s="22">
        <v>7.6</v>
      </c>
      <c r="AA85" s="22">
        <v>8</v>
      </c>
      <c r="AB85" s="24">
        <v>55000</v>
      </c>
      <c r="AC85" s="22" t="s">
        <v>136</v>
      </c>
      <c r="AD85" s="29" t="s">
        <v>137</v>
      </c>
      <c r="AE85" s="22" t="s">
        <v>135</v>
      </c>
    </row>
    <row r="86" spans="1:31" ht="18" customHeight="1" x14ac:dyDescent="0.2">
      <c r="A86" s="26" t="s">
        <v>209</v>
      </c>
      <c r="B86" s="26" t="s">
        <v>210</v>
      </c>
      <c r="C86" s="26" t="s">
        <v>182</v>
      </c>
      <c r="D86" s="26" t="s">
        <v>211</v>
      </c>
      <c r="E86" s="26" t="s">
        <v>127</v>
      </c>
      <c r="F86" s="26" t="s">
        <v>142</v>
      </c>
      <c r="G86" s="26" t="s">
        <v>212</v>
      </c>
      <c r="H86" s="26" t="s">
        <v>185</v>
      </c>
      <c r="I86" s="26" t="s">
        <v>131</v>
      </c>
      <c r="J86" s="26" t="s">
        <v>132</v>
      </c>
      <c r="K86" s="26" t="s">
        <v>50</v>
      </c>
      <c r="L86" s="26">
        <v>20</v>
      </c>
      <c r="M86" s="26">
        <v>18</v>
      </c>
      <c r="N86" s="26">
        <v>0</v>
      </c>
      <c r="O86" s="26">
        <v>2</v>
      </c>
      <c r="P86" s="26">
        <v>1</v>
      </c>
      <c r="Q86" s="27">
        <v>0.9</v>
      </c>
      <c r="R86" s="26">
        <v>147.80000000000001</v>
      </c>
      <c r="S86" s="26">
        <v>5.0999999999999996</v>
      </c>
      <c r="T86" s="26">
        <v>23</v>
      </c>
      <c r="U86" s="26">
        <v>24</v>
      </c>
      <c r="V86" s="27">
        <v>1.0435000000000001</v>
      </c>
      <c r="W86" s="26">
        <v>4.13</v>
      </c>
      <c r="X86" s="26">
        <v>4.2</v>
      </c>
      <c r="Y86" s="26">
        <v>3.3</v>
      </c>
      <c r="Z86" s="26">
        <v>8.1</v>
      </c>
      <c r="AA86" s="26">
        <v>8.4</v>
      </c>
      <c r="AB86" s="28">
        <v>55000</v>
      </c>
      <c r="AC86" s="26" t="s">
        <v>133</v>
      </c>
      <c r="AD86" s="25" t="s">
        <v>134</v>
      </c>
      <c r="AE86" s="26" t="s">
        <v>135</v>
      </c>
    </row>
    <row r="87" spans="1:31" ht="18" customHeight="1" x14ac:dyDescent="0.2">
      <c r="A87" s="22" t="s">
        <v>213</v>
      </c>
      <c r="B87" s="22" t="s">
        <v>214</v>
      </c>
      <c r="C87" s="22" t="s">
        <v>125</v>
      </c>
      <c r="D87" s="22" t="s">
        <v>215</v>
      </c>
      <c r="E87" s="22" t="s">
        <v>216</v>
      </c>
      <c r="F87" s="22" t="s">
        <v>128</v>
      </c>
      <c r="G87" s="22" t="s">
        <v>217</v>
      </c>
      <c r="H87" s="22" t="s">
        <v>130</v>
      </c>
      <c r="I87" s="22" t="s">
        <v>131</v>
      </c>
      <c r="J87" s="22" t="s">
        <v>168</v>
      </c>
      <c r="K87" s="22" t="s">
        <v>32</v>
      </c>
      <c r="L87" s="22">
        <v>23</v>
      </c>
      <c r="M87" s="22">
        <v>20</v>
      </c>
      <c r="N87" s="22">
        <v>2</v>
      </c>
      <c r="O87" s="22">
        <v>1</v>
      </c>
      <c r="P87" s="22">
        <v>4</v>
      </c>
      <c r="Q87" s="23">
        <v>0.86960000000000004</v>
      </c>
      <c r="R87" s="22">
        <v>159</v>
      </c>
      <c r="S87" s="22">
        <v>19.2</v>
      </c>
      <c r="T87" s="22">
        <v>23</v>
      </c>
      <c r="U87" s="22">
        <v>21</v>
      </c>
      <c r="V87" s="23">
        <v>0.91300000000000003</v>
      </c>
      <c r="W87" s="22">
        <v>3.87</v>
      </c>
      <c r="X87" s="22">
        <v>3.7</v>
      </c>
      <c r="Y87" s="22">
        <v>3.5</v>
      </c>
      <c r="Z87" s="22">
        <v>7.6</v>
      </c>
      <c r="AA87" s="22">
        <v>7.4</v>
      </c>
      <c r="AB87" s="24">
        <v>95000</v>
      </c>
      <c r="AC87" s="22" t="s">
        <v>133</v>
      </c>
      <c r="AD87" s="25" t="s">
        <v>134</v>
      </c>
      <c r="AE87" s="22" t="s">
        <v>135</v>
      </c>
    </row>
    <row r="88" spans="1:31" ht="18" customHeight="1" x14ac:dyDescent="0.2">
      <c r="A88" s="26" t="s">
        <v>213</v>
      </c>
      <c r="B88" s="26" t="s">
        <v>214</v>
      </c>
      <c r="C88" s="26" t="s">
        <v>125</v>
      </c>
      <c r="D88" s="26" t="s">
        <v>215</v>
      </c>
      <c r="E88" s="26" t="s">
        <v>216</v>
      </c>
      <c r="F88" s="26" t="s">
        <v>128</v>
      </c>
      <c r="G88" s="26" t="s">
        <v>217</v>
      </c>
      <c r="H88" s="26" t="s">
        <v>130</v>
      </c>
      <c r="I88" s="26" t="s">
        <v>131</v>
      </c>
      <c r="J88" s="26" t="s">
        <v>168</v>
      </c>
      <c r="K88" s="26" t="s">
        <v>36</v>
      </c>
      <c r="L88" s="26">
        <v>20</v>
      </c>
      <c r="M88" s="26">
        <v>18</v>
      </c>
      <c r="N88" s="26">
        <v>1</v>
      </c>
      <c r="O88" s="26">
        <v>1</v>
      </c>
      <c r="P88" s="26">
        <v>4</v>
      </c>
      <c r="Q88" s="27">
        <v>0.9</v>
      </c>
      <c r="R88" s="26">
        <v>142.9</v>
      </c>
      <c r="S88" s="26">
        <v>14</v>
      </c>
      <c r="T88" s="26">
        <v>15</v>
      </c>
      <c r="U88" s="26">
        <v>15</v>
      </c>
      <c r="V88" s="27">
        <v>1</v>
      </c>
      <c r="W88" s="26">
        <v>3.93</v>
      </c>
      <c r="X88" s="26">
        <v>4.4000000000000004</v>
      </c>
      <c r="Y88" s="26">
        <v>3.1</v>
      </c>
      <c r="Z88" s="26">
        <v>8</v>
      </c>
      <c r="AA88" s="26">
        <v>8.8000000000000007</v>
      </c>
      <c r="AB88" s="28">
        <v>95000</v>
      </c>
      <c r="AC88" s="26" t="s">
        <v>133</v>
      </c>
      <c r="AD88" s="25" t="s">
        <v>134</v>
      </c>
      <c r="AE88" s="26" t="s">
        <v>135</v>
      </c>
    </row>
    <row r="89" spans="1:31" ht="18" customHeight="1" x14ac:dyDescent="0.2">
      <c r="A89" s="22" t="s">
        <v>213</v>
      </c>
      <c r="B89" s="22" t="s">
        <v>214</v>
      </c>
      <c r="C89" s="22" t="s">
        <v>125</v>
      </c>
      <c r="D89" s="22" t="s">
        <v>215</v>
      </c>
      <c r="E89" s="22" t="s">
        <v>216</v>
      </c>
      <c r="F89" s="22" t="s">
        <v>128</v>
      </c>
      <c r="G89" s="22" t="s">
        <v>217</v>
      </c>
      <c r="H89" s="22" t="s">
        <v>130</v>
      </c>
      <c r="I89" s="22" t="s">
        <v>131</v>
      </c>
      <c r="J89" s="22" t="s">
        <v>168</v>
      </c>
      <c r="K89" s="22" t="s">
        <v>40</v>
      </c>
      <c r="L89" s="22">
        <v>21</v>
      </c>
      <c r="M89" s="22">
        <v>19</v>
      </c>
      <c r="N89" s="22">
        <v>2</v>
      </c>
      <c r="O89" s="22">
        <v>0</v>
      </c>
      <c r="P89" s="22">
        <v>3</v>
      </c>
      <c r="Q89" s="23">
        <v>0.90480000000000005</v>
      </c>
      <c r="R89" s="22">
        <v>167</v>
      </c>
      <c r="S89" s="22">
        <v>18.100000000000001</v>
      </c>
      <c r="T89" s="22">
        <v>22</v>
      </c>
      <c r="U89" s="22">
        <v>23</v>
      </c>
      <c r="V89" s="23">
        <v>1.0455000000000001</v>
      </c>
      <c r="W89" s="22">
        <v>3.67</v>
      </c>
      <c r="X89" s="22">
        <v>3.1</v>
      </c>
      <c r="Y89" s="22">
        <v>4.5</v>
      </c>
      <c r="Z89" s="22">
        <v>7.2</v>
      </c>
      <c r="AA89" s="22">
        <v>6.2</v>
      </c>
      <c r="AB89" s="24">
        <v>95000</v>
      </c>
      <c r="AC89" s="22" t="s">
        <v>136</v>
      </c>
      <c r="AD89" s="25" t="s">
        <v>134</v>
      </c>
      <c r="AE89" s="22" t="s">
        <v>135</v>
      </c>
    </row>
    <row r="90" spans="1:31" ht="18" customHeight="1" x14ac:dyDescent="0.2">
      <c r="A90" s="26" t="s">
        <v>213</v>
      </c>
      <c r="B90" s="26" t="s">
        <v>214</v>
      </c>
      <c r="C90" s="26" t="s">
        <v>125</v>
      </c>
      <c r="D90" s="26" t="s">
        <v>215</v>
      </c>
      <c r="E90" s="26" t="s">
        <v>216</v>
      </c>
      <c r="F90" s="26" t="s">
        <v>128</v>
      </c>
      <c r="G90" s="26" t="s">
        <v>217</v>
      </c>
      <c r="H90" s="26" t="s">
        <v>130</v>
      </c>
      <c r="I90" s="26" t="s">
        <v>131</v>
      </c>
      <c r="J90" s="26" t="s">
        <v>168</v>
      </c>
      <c r="K90" s="26" t="s">
        <v>44</v>
      </c>
      <c r="L90" s="26">
        <v>22</v>
      </c>
      <c r="M90" s="26">
        <v>22</v>
      </c>
      <c r="N90" s="26">
        <v>0</v>
      </c>
      <c r="O90" s="26">
        <v>0</v>
      </c>
      <c r="P90" s="26">
        <v>5</v>
      </c>
      <c r="Q90" s="27">
        <v>1</v>
      </c>
      <c r="R90" s="26">
        <v>168.9</v>
      </c>
      <c r="S90" s="26">
        <v>12.5</v>
      </c>
      <c r="T90" s="26">
        <v>16</v>
      </c>
      <c r="U90" s="26">
        <v>14</v>
      </c>
      <c r="V90" s="27">
        <v>0.875</v>
      </c>
      <c r="W90" s="26">
        <v>3.7</v>
      </c>
      <c r="X90" s="26">
        <v>2.8</v>
      </c>
      <c r="Y90" s="26">
        <v>4.8</v>
      </c>
      <c r="Z90" s="26">
        <v>7.1</v>
      </c>
      <c r="AA90" s="26">
        <v>5.6</v>
      </c>
      <c r="AB90" s="28">
        <v>95000</v>
      </c>
      <c r="AC90" s="26" t="s">
        <v>136</v>
      </c>
      <c r="AD90" s="25" t="s">
        <v>134</v>
      </c>
      <c r="AE90" s="26" t="s">
        <v>135</v>
      </c>
    </row>
    <row r="91" spans="1:31" ht="18" customHeight="1" x14ac:dyDescent="0.2">
      <c r="A91" s="22" t="s">
        <v>213</v>
      </c>
      <c r="B91" s="22" t="s">
        <v>214</v>
      </c>
      <c r="C91" s="22" t="s">
        <v>125</v>
      </c>
      <c r="D91" s="22" t="s">
        <v>215</v>
      </c>
      <c r="E91" s="22" t="s">
        <v>216</v>
      </c>
      <c r="F91" s="22" t="s">
        <v>128</v>
      </c>
      <c r="G91" s="22" t="s">
        <v>217</v>
      </c>
      <c r="H91" s="22" t="s">
        <v>130</v>
      </c>
      <c r="I91" s="22" t="s">
        <v>131</v>
      </c>
      <c r="J91" s="22" t="s">
        <v>168</v>
      </c>
      <c r="K91" s="22" t="s">
        <v>48</v>
      </c>
      <c r="L91" s="22">
        <v>21</v>
      </c>
      <c r="M91" s="22">
        <v>17</v>
      </c>
      <c r="N91" s="22">
        <v>3</v>
      </c>
      <c r="O91" s="22">
        <v>1</v>
      </c>
      <c r="P91" s="22">
        <v>1</v>
      </c>
      <c r="Q91" s="23">
        <v>0.8095</v>
      </c>
      <c r="R91" s="22">
        <v>132</v>
      </c>
      <c r="S91" s="22">
        <v>15.7</v>
      </c>
      <c r="T91" s="22">
        <v>26</v>
      </c>
      <c r="U91" s="22">
        <v>24</v>
      </c>
      <c r="V91" s="23">
        <v>0.92310000000000003</v>
      </c>
      <c r="W91" s="22">
        <v>3.47</v>
      </c>
      <c r="X91" s="22">
        <v>4.8</v>
      </c>
      <c r="Y91" s="22">
        <v>4.9000000000000004</v>
      </c>
      <c r="Z91" s="22">
        <v>8</v>
      </c>
      <c r="AA91" s="22">
        <v>9.6</v>
      </c>
      <c r="AB91" s="24">
        <v>95000</v>
      </c>
      <c r="AC91" s="22" t="s">
        <v>136</v>
      </c>
      <c r="AD91" s="29" t="s">
        <v>137</v>
      </c>
      <c r="AE91" s="22" t="s">
        <v>135</v>
      </c>
    </row>
    <row r="92" spans="1:31" ht="18" customHeight="1" x14ac:dyDescent="0.2">
      <c r="A92" s="26" t="s">
        <v>213</v>
      </c>
      <c r="B92" s="26" t="s">
        <v>214</v>
      </c>
      <c r="C92" s="26" t="s">
        <v>125</v>
      </c>
      <c r="D92" s="26" t="s">
        <v>215</v>
      </c>
      <c r="E92" s="26" t="s">
        <v>216</v>
      </c>
      <c r="F92" s="26" t="s">
        <v>128</v>
      </c>
      <c r="G92" s="26" t="s">
        <v>217</v>
      </c>
      <c r="H92" s="26" t="s">
        <v>130</v>
      </c>
      <c r="I92" s="26" t="s">
        <v>131</v>
      </c>
      <c r="J92" s="26" t="s">
        <v>168</v>
      </c>
      <c r="K92" s="26" t="s">
        <v>50</v>
      </c>
      <c r="L92" s="26">
        <v>20</v>
      </c>
      <c r="M92" s="26">
        <v>20</v>
      </c>
      <c r="N92" s="26">
        <v>0</v>
      </c>
      <c r="O92" s="26">
        <v>0</v>
      </c>
      <c r="P92" s="26">
        <v>5</v>
      </c>
      <c r="Q92" s="27">
        <v>1</v>
      </c>
      <c r="R92" s="26">
        <v>176.1</v>
      </c>
      <c r="S92" s="26">
        <v>16.100000000000001</v>
      </c>
      <c r="T92" s="26">
        <v>29</v>
      </c>
      <c r="U92" s="26">
        <v>20</v>
      </c>
      <c r="V92" s="27">
        <v>0.68969999999999998</v>
      </c>
      <c r="W92" s="26">
        <v>4.3</v>
      </c>
      <c r="X92" s="26">
        <v>4.3</v>
      </c>
      <c r="Y92" s="26">
        <v>5</v>
      </c>
      <c r="Z92" s="26">
        <v>8.6999999999999993</v>
      </c>
      <c r="AA92" s="26">
        <v>8.6</v>
      </c>
      <c r="AB92" s="28">
        <v>95000</v>
      </c>
      <c r="AC92" s="26" t="s">
        <v>133</v>
      </c>
      <c r="AD92" s="25" t="s">
        <v>134</v>
      </c>
      <c r="AE92" s="26" t="s">
        <v>145</v>
      </c>
    </row>
    <row r="93" spans="1:31" ht="18" customHeight="1" x14ac:dyDescent="0.2">
      <c r="A93" s="22" t="s">
        <v>218</v>
      </c>
      <c r="B93" s="22" t="s">
        <v>219</v>
      </c>
      <c r="C93" s="22" t="s">
        <v>157</v>
      </c>
      <c r="D93" s="22" t="s">
        <v>220</v>
      </c>
      <c r="E93" s="22" t="s">
        <v>173</v>
      </c>
      <c r="F93" s="22" t="s">
        <v>142</v>
      </c>
      <c r="G93" s="22" t="s">
        <v>221</v>
      </c>
      <c r="H93" s="22" t="s">
        <v>160</v>
      </c>
      <c r="I93" s="22" t="s">
        <v>131</v>
      </c>
      <c r="J93" s="22" t="s">
        <v>203</v>
      </c>
      <c r="K93" s="22" t="s">
        <v>32</v>
      </c>
      <c r="L93" s="22">
        <v>23</v>
      </c>
      <c r="M93" s="22">
        <v>23</v>
      </c>
      <c r="N93" s="22">
        <v>0</v>
      </c>
      <c r="O93" s="22">
        <v>0</v>
      </c>
      <c r="P93" s="22">
        <v>0</v>
      </c>
      <c r="Q93" s="23">
        <v>1</v>
      </c>
      <c r="R93" s="22">
        <v>197.7</v>
      </c>
      <c r="S93" s="22">
        <v>0.3</v>
      </c>
      <c r="T93" s="22">
        <v>32</v>
      </c>
      <c r="U93" s="22">
        <v>23</v>
      </c>
      <c r="V93" s="23">
        <v>0.71879999999999999</v>
      </c>
      <c r="W93" s="22">
        <v>4.13</v>
      </c>
      <c r="X93" s="22">
        <v>4</v>
      </c>
      <c r="Y93" s="22">
        <v>4.5999999999999996</v>
      </c>
      <c r="Z93" s="22">
        <v>8.3000000000000007</v>
      </c>
      <c r="AA93" s="22">
        <v>8</v>
      </c>
      <c r="AB93" s="24">
        <v>120000</v>
      </c>
      <c r="AC93" s="22" t="s">
        <v>133</v>
      </c>
      <c r="AD93" s="25" t="s">
        <v>134</v>
      </c>
      <c r="AE93" s="22" t="s">
        <v>135</v>
      </c>
    </row>
    <row r="94" spans="1:31" ht="18" customHeight="1" x14ac:dyDescent="0.2">
      <c r="A94" s="26" t="s">
        <v>218</v>
      </c>
      <c r="B94" s="26" t="s">
        <v>219</v>
      </c>
      <c r="C94" s="26" t="s">
        <v>157</v>
      </c>
      <c r="D94" s="26" t="s">
        <v>220</v>
      </c>
      <c r="E94" s="26" t="s">
        <v>173</v>
      </c>
      <c r="F94" s="26" t="s">
        <v>142</v>
      </c>
      <c r="G94" s="26" t="s">
        <v>221</v>
      </c>
      <c r="H94" s="26" t="s">
        <v>160</v>
      </c>
      <c r="I94" s="26" t="s">
        <v>131</v>
      </c>
      <c r="J94" s="26" t="s">
        <v>203</v>
      </c>
      <c r="K94" s="26" t="s">
        <v>36</v>
      </c>
      <c r="L94" s="26">
        <v>20</v>
      </c>
      <c r="M94" s="26">
        <v>16</v>
      </c>
      <c r="N94" s="26">
        <v>0</v>
      </c>
      <c r="O94" s="26">
        <v>4</v>
      </c>
      <c r="P94" s="26">
        <v>5</v>
      </c>
      <c r="Q94" s="27">
        <v>0.8</v>
      </c>
      <c r="R94" s="26">
        <v>125</v>
      </c>
      <c r="S94" s="26">
        <v>0.5</v>
      </c>
      <c r="T94" s="26">
        <v>32</v>
      </c>
      <c r="U94" s="26">
        <v>30</v>
      </c>
      <c r="V94" s="27">
        <v>0.9375</v>
      </c>
      <c r="W94" s="26">
        <v>3.63</v>
      </c>
      <c r="X94" s="26">
        <v>4.5999999999999996</v>
      </c>
      <c r="Y94" s="26">
        <v>4.8</v>
      </c>
      <c r="Z94" s="26">
        <v>8.1</v>
      </c>
      <c r="AA94" s="26">
        <v>9.1999999999999993</v>
      </c>
      <c r="AB94" s="28">
        <v>120000</v>
      </c>
      <c r="AC94" s="26" t="s">
        <v>136</v>
      </c>
      <c r="AD94" s="29" t="s">
        <v>137</v>
      </c>
      <c r="AE94" s="26" t="s">
        <v>135</v>
      </c>
    </row>
    <row r="95" spans="1:31" ht="18" customHeight="1" x14ac:dyDescent="0.2">
      <c r="A95" s="22" t="s">
        <v>218</v>
      </c>
      <c r="B95" s="22" t="s">
        <v>219</v>
      </c>
      <c r="C95" s="22" t="s">
        <v>157</v>
      </c>
      <c r="D95" s="22" t="s">
        <v>220</v>
      </c>
      <c r="E95" s="22" t="s">
        <v>173</v>
      </c>
      <c r="F95" s="22" t="s">
        <v>142</v>
      </c>
      <c r="G95" s="22" t="s">
        <v>221</v>
      </c>
      <c r="H95" s="22" t="s">
        <v>160</v>
      </c>
      <c r="I95" s="22" t="s">
        <v>131</v>
      </c>
      <c r="J95" s="22" t="s">
        <v>203</v>
      </c>
      <c r="K95" s="22" t="s">
        <v>40</v>
      </c>
      <c r="L95" s="22">
        <v>21</v>
      </c>
      <c r="M95" s="22">
        <v>17</v>
      </c>
      <c r="N95" s="22">
        <v>3</v>
      </c>
      <c r="O95" s="22">
        <v>1</v>
      </c>
      <c r="P95" s="22">
        <v>0</v>
      </c>
      <c r="Q95" s="23">
        <v>0.8095</v>
      </c>
      <c r="R95" s="22">
        <v>130.19999999999999</v>
      </c>
      <c r="S95" s="22">
        <v>18.899999999999999</v>
      </c>
      <c r="T95" s="22">
        <v>24</v>
      </c>
      <c r="U95" s="22">
        <v>22</v>
      </c>
      <c r="V95" s="23">
        <v>0.91669999999999996</v>
      </c>
      <c r="W95" s="22">
        <v>3.5</v>
      </c>
      <c r="X95" s="22">
        <v>3.5</v>
      </c>
      <c r="Y95" s="22">
        <v>3.7</v>
      </c>
      <c r="Z95" s="22">
        <v>7</v>
      </c>
      <c r="AA95" s="22">
        <v>7</v>
      </c>
      <c r="AB95" s="24">
        <v>120000</v>
      </c>
      <c r="AC95" s="22" t="s">
        <v>136</v>
      </c>
      <c r="AD95" s="29" t="s">
        <v>137</v>
      </c>
      <c r="AE95" s="22" t="s">
        <v>135</v>
      </c>
    </row>
    <row r="96" spans="1:31" ht="18" customHeight="1" x14ac:dyDescent="0.2">
      <c r="A96" s="26" t="s">
        <v>218</v>
      </c>
      <c r="B96" s="26" t="s">
        <v>219</v>
      </c>
      <c r="C96" s="26" t="s">
        <v>157</v>
      </c>
      <c r="D96" s="26" t="s">
        <v>220</v>
      </c>
      <c r="E96" s="26" t="s">
        <v>173</v>
      </c>
      <c r="F96" s="26" t="s">
        <v>142</v>
      </c>
      <c r="G96" s="26" t="s">
        <v>221</v>
      </c>
      <c r="H96" s="26" t="s">
        <v>160</v>
      </c>
      <c r="I96" s="26" t="s">
        <v>131</v>
      </c>
      <c r="J96" s="26" t="s">
        <v>203</v>
      </c>
      <c r="K96" s="26" t="s">
        <v>44</v>
      </c>
      <c r="L96" s="26">
        <v>22</v>
      </c>
      <c r="M96" s="26">
        <v>21</v>
      </c>
      <c r="N96" s="26">
        <v>1</v>
      </c>
      <c r="O96" s="26">
        <v>0</v>
      </c>
      <c r="P96" s="26">
        <v>4</v>
      </c>
      <c r="Q96" s="27">
        <v>0.95450000000000002</v>
      </c>
      <c r="R96" s="26">
        <v>180.3</v>
      </c>
      <c r="S96" s="26">
        <v>3.1</v>
      </c>
      <c r="T96" s="26">
        <v>28</v>
      </c>
      <c r="U96" s="26">
        <v>28</v>
      </c>
      <c r="V96" s="27">
        <v>1</v>
      </c>
      <c r="W96" s="26">
        <v>3.57</v>
      </c>
      <c r="X96" s="26">
        <v>4.9000000000000004</v>
      </c>
      <c r="Y96" s="26">
        <v>3.1</v>
      </c>
      <c r="Z96" s="26">
        <v>7.8</v>
      </c>
      <c r="AA96" s="26">
        <v>9.8000000000000007</v>
      </c>
      <c r="AB96" s="28">
        <v>120000</v>
      </c>
      <c r="AC96" s="26" t="s">
        <v>133</v>
      </c>
      <c r="AD96" s="25" t="s">
        <v>134</v>
      </c>
      <c r="AE96" s="26" t="s">
        <v>135</v>
      </c>
    </row>
    <row r="97" spans="1:31" ht="18" customHeight="1" x14ac:dyDescent="0.2">
      <c r="A97" s="22" t="s">
        <v>218</v>
      </c>
      <c r="B97" s="22" t="s">
        <v>219</v>
      </c>
      <c r="C97" s="22" t="s">
        <v>157</v>
      </c>
      <c r="D97" s="22" t="s">
        <v>220</v>
      </c>
      <c r="E97" s="22" t="s">
        <v>173</v>
      </c>
      <c r="F97" s="22" t="s">
        <v>142</v>
      </c>
      <c r="G97" s="22" t="s">
        <v>221</v>
      </c>
      <c r="H97" s="22" t="s">
        <v>160</v>
      </c>
      <c r="I97" s="22" t="s">
        <v>131</v>
      </c>
      <c r="J97" s="22" t="s">
        <v>203</v>
      </c>
      <c r="K97" s="22" t="s">
        <v>48</v>
      </c>
      <c r="L97" s="22">
        <v>21</v>
      </c>
      <c r="M97" s="22">
        <v>17</v>
      </c>
      <c r="N97" s="22">
        <v>1</v>
      </c>
      <c r="O97" s="22">
        <v>3</v>
      </c>
      <c r="P97" s="22">
        <v>3</v>
      </c>
      <c r="Q97" s="23">
        <v>0.8095</v>
      </c>
      <c r="R97" s="22">
        <v>139.30000000000001</v>
      </c>
      <c r="S97" s="22">
        <v>4.7</v>
      </c>
      <c r="T97" s="22">
        <v>26</v>
      </c>
      <c r="U97" s="22">
        <v>17</v>
      </c>
      <c r="V97" s="23">
        <v>0.65380000000000005</v>
      </c>
      <c r="W97" s="22">
        <v>4.5</v>
      </c>
      <c r="X97" s="22">
        <v>4.0999999999999996</v>
      </c>
      <c r="Y97" s="22">
        <v>3.1</v>
      </c>
      <c r="Z97" s="22">
        <v>8.5</v>
      </c>
      <c r="AA97" s="22">
        <v>8.1999999999999993</v>
      </c>
      <c r="AB97" s="24">
        <v>120000</v>
      </c>
      <c r="AC97" s="22" t="s">
        <v>136</v>
      </c>
      <c r="AD97" s="29" t="s">
        <v>137</v>
      </c>
      <c r="AE97" s="22" t="s">
        <v>145</v>
      </c>
    </row>
    <row r="98" spans="1:31" ht="18" customHeight="1" x14ac:dyDescent="0.2">
      <c r="A98" s="26" t="s">
        <v>218</v>
      </c>
      <c r="B98" s="26" t="s">
        <v>219</v>
      </c>
      <c r="C98" s="26" t="s">
        <v>157</v>
      </c>
      <c r="D98" s="26" t="s">
        <v>220</v>
      </c>
      <c r="E98" s="26" t="s">
        <v>173</v>
      </c>
      <c r="F98" s="26" t="s">
        <v>142</v>
      </c>
      <c r="G98" s="26" t="s">
        <v>221</v>
      </c>
      <c r="H98" s="26" t="s">
        <v>160</v>
      </c>
      <c r="I98" s="26" t="s">
        <v>131</v>
      </c>
      <c r="J98" s="26" t="s">
        <v>203</v>
      </c>
      <c r="K98" s="26" t="s">
        <v>50</v>
      </c>
      <c r="L98" s="26">
        <v>20</v>
      </c>
      <c r="M98" s="26">
        <v>16</v>
      </c>
      <c r="N98" s="26">
        <v>1</v>
      </c>
      <c r="O98" s="26">
        <v>3</v>
      </c>
      <c r="P98" s="26">
        <v>0</v>
      </c>
      <c r="Q98" s="27">
        <v>0.8</v>
      </c>
      <c r="R98" s="26">
        <v>146.5</v>
      </c>
      <c r="S98" s="26">
        <v>16.5</v>
      </c>
      <c r="T98" s="26">
        <v>17</v>
      </c>
      <c r="U98" s="26">
        <v>14</v>
      </c>
      <c r="V98" s="27">
        <v>0.82350000000000001</v>
      </c>
      <c r="W98" s="26">
        <v>3.7</v>
      </c>
      <c r="X98" s="26">
        <v>4.5</v>
      </c>
      <c r="Y98" s="26">
        <v>3.5</v>
      </c>
      <c r="Z98" s="26">
        <v>7.8</v>
      </c>
      <c r="AA98" s="26">
        <v>9</v>
      </c>
      <c r="AB98" s="28">
        <v>120000</v>
      </c>
      <c r="AC98" s="26" t="s">
        <v>136</v>
      </c>
      <c r="AD98" s="29" t="s">
        <v>137</v>
      </c>
      <c r="AE98" s="26" t="s">
        <v>135</v>
      </c>
    </row>
    <row r="99" spans="1:31" ht="18" customHeight="1" x14ac:dyDescent="0.2">
      <c r="A99" s="22" t="s">
        <v>222</v>
      </c>
      <c r="B99" s="22" t="s">
        <v>223</v>
      </c>
      <c r="C99" s="22" t="s">
        <v>163</v>
      </c>
      <c r="D99" s="22" t="s">
        <v>224</v>
      </c>
      <c r="E99" s="22" t="s">
        <v>225</v>
      </c>
      <c r="F99" s="22" t="s">
        <v>128</v>
      </c>
      <c r="G99" s="22" t="s">
        <v>226</v>
      </c>
      <c r="H99" s="22" t="s">
        <v>167</v>
      </c>
      <c r="I99" s="22" t="s">
        <v>131</v>
      </c>
      <c r="J99" s="22" t="s">
        <v>153</v>
      </c>
      <c r="K99" s="22" t="s">
        <v>32</v>
      </c>
      <c r="L99" s="22">
        <v>23</v>
      </c>
      <c r="M99" s="22">
        <v>18</v>
      </c>
      <c r="N99" s="22">
        <v>1</v>
      </c>
      <c r="O99" s="22">
        <v>4</v>
      </c>
      <c r="P99" s="22">
        <v>0</v>
      </c>
      <c r="Q99" s="23">
        <v>0.78259999999999996</v>
      </c>
      <c r="R99" s="22">
        <v>158.9</v>
      </c>
      <c r="S99" s="22">
        <v>11.1</v>
      </c>
      <c r="T99" s="22">
        <v>33</v>
      </c>
      <c r="U99" s="22">
        <v>27</v>
      </c>
      <c r="V99" s="23">
        <v>0.81820000000000004</v>
      </c>
      <c r="W99" s="22">
        <v>4.17</v>
      </c>
      <c r="X99" s="22">
        <v>4.5</v>
      </c>
      <c r="Y99" s="22">
        <v>4.2</v>
      </c>
      <c r="Z99" s="22">
        <v>8.5</v>
      </c>
      <c r="AA99" s="22">
        <v>9</v>
      </c>
      <c r="AB99" s="24">
        <v>35000</v>
      </c>
      <c r="AC99" s="22" t="s">
        <v>136</v>
      </c>
      <c r="AD99" s="29" t="s">
        <v>137</v>
      </c>
      <c r="AE99" s="22" t="s">
        <v>145</v>
      </c>
    </row>
    <row r="100" spans="1:31" ht="18" customHeight="1" x14ac:dyDescent="0.2">
      <c r="A100" s="26" t="s">
        <v>222</v>
      </c>
      <c r="B100" s="26" t="s">
        <v>223</v>
      </c>
      <c r="C100" s="26" t="s">
        <v>163</v>
      </c>
      <c r="D100" s="26" t="s">
        <v>224</v>
      </c>
      <c r="E100" s="26" t="s">
        <v>225</v>
      </c>
      <c r="F100" s="26" t="s">
        <v>128</v>
      </c>
      <c r="G100" s="26" t="s">
        <v>226</v>
      </c>
      <c r="H100" s="26" t="s">
        <v>167</v>
      </c>
      <c r="I100" s="26" t="s">
        <v>131</v>
      </c>
      <c r="J100" s="26" t="s">
        <v>153</v>
      </c>
      <c r="K100" s="26" t="s">
        <v>36</v>
      </c>
      <c r="L100" s="26">
        <v>20</v>
      </c>
      <c r="M100" s="26">
        <v>16</v>
      </c>
      <c r="N100" s="26">
        <v>1</v>
      </c>
      <c r="O100" s="26">
        <v>3</v>
      </c>
      <c r="P100" s="26">
        <v>1</v>
      </c>
      <c r="Q100" s="27">
        <v>0.8</v>
      </c>
      <c r="R100" s="26">
        <v>134.19999999999999</v>
      </c>
      <c r="S100" s="26">
        <v>16</v>
      </c>
      <c r="T100" s="26">
        <v>18</v>
      </c>
      <c r="U100" s="26">
        <v>11</v>
      </c>
      <c r="V100" s="27">
        <v>0.61109999999999998</v>
      </c>
      <c r="W100" s="26">
        <v>3.83</v>
      </c>
      <c r="X100" s="26">
        <v>4</v>
      </c>
      <c r="Y100" s="26">
        <v>3</v>
      </c>
      <c r="Z100" s="26">
        <v>7.6</v>
      </c>
      <c r="AA100" s="26">
        <v>8</v>
      </c>
      <c r="AB100" s="28">
        <v>35000</v>
      </c>
      <c r="AC100" s="26" t="s">
        <v>136</v>
      </c>
      <c r="AD100" s="29" t="s">
        <v>137</v>
      </c>
      <c r="AE100" s="26" t="s">
        <v>135</v>
      </c>
    </row>
    <row r="101" spans="1:31" ht="18" customHeight="1" x14ac:dyDescent="0.2">
      <c r="A101" s="22" t="s">
        <v>222</v>
      </c>
      <c r="B101" s="22" t="s">
        <v>223</v>
      </c>
      <c r="C101" s="22" t="s">
        <v>163</v>
      </c>
      <c r="D101" s="22" t="s">
        <v>224</v>
      </c>
      <c r="E101" s="22" t="s">
        <v>225</v>
      </c>
      <c r="F101" s="22" t="s">
        <v>128</v>
      </c>
      <c r="G101" s="22" t="s">
        <v>226</v>
      </c>
      <c r="H101" s="22" t="s">
        <v>167</v>
      </c>
      <c r="I101" s="22" t="s">
        <v>131</v>
      </c>
      <c r="J101" s="22" t="s">
        <v>153</v>
      </c>
      <c r="K101" s="22" t="s">
        <v>40</v>
      </c>
      <c r="L101" s="22">
        <v>21</v>
      </c>
      <c r="M101" s="22">
        <v>17</v>
      </c>
      <c r="N101" s="22">
        <v>0</v>
      </c>
      <c r="O101" s="22">
        <v>4</v>
      </c>
      <c r="P101" s="22">
        <v>1</v>
      </c>
      <c r="Q101" s="23">
        <v>0.8095</v>
      </c>
      <c r="R101" s="22">
        <v>148.30000000000001</v>
      </c>
      <c r="S101" s="22">
        <v>10.5</v>
      </c>
      <c r="T101" s="22">
        <v>17</v>
      </c>
      <c r="U101" s="22">
        <v>18</v>
      </c>
      <c r="V101" s="23">
        <v>1.0588</v>
      </c>
      <c r="W101" s="22">
        <v>3.87</v>
      </c>
      <c r="X101" s="22">
        <v>3.6</v>
      </c>
      <c r="Y101" s="22">
        <v>3.4</v>
      </c>
      <c r="Z101" s="22">
        <v>7.5</v>
      </c>
      <c r="AA101" s="22">
        <v>7.2</v>
      </c>
      <c r="AB101" s="24">
        <v>35000</v>
      </c>
      <c r="AC101" s="22" t="s">
        <v>136</v>
      </c>
      <c r="AD101" s="29" t="s">
        <v>137</v>
      </c>
      <c r="AE101" s="22" t="s">
        <v>135</v>
      </c>
    </row>
    <row r="102" spans="1:31" ht="18" customHeight="1" x14ac:dyDescent="0.2">
      <c r="A102" s="26" t="s">
        <v>222</v>
      </c>
      <c r="B102" s="26" t="s">
        <v>223</v>
      </c>
      <c r="C102" s="26" t="s">
        <v>163</v>
      </c>
      <c r="D102" s="26" t="s">
        <v>224</v>
      </c>
      <c r="E102" s="26" t="s">
        <v>225</v>
      </c>
      <c r="F102" s="26" t="s">
        <v>128</v>
      </c>
      <c r="G102" s="26" t="s">
        <v>226</v>
      </c>
      <c r="H102" s="26" t="s">
        <v>167</v>
      </c>
      <c r="I102" s="26" t="s">
        <v>131</v>
      </c>
      <c r="J102" s="26" t="s">
        <v>153</v>
      </c>
      <c r="K102" s="26" t="s">
        <v>44</v>
      </c>
      <c r="L102" s="26">
        <v>22</v>
      </c>
      <c r="M102" s="26">
        <v>20</v>
      </c>
      <c r="N102" s="26">
        <v>0</v>
      </c>
      <c r="O102" s="26">
        <v>2</v>
      </c>
      <c r="P102" s="26">
        <v>5</v>
      </c>
      <c r="Q102" s="27">
        <v>0.90910000000000002</v>
      </c>
      <c r="R102" s="26">
        <v>173.5</v>
      </c>
      <c r="S102" s="26">
        <v>17.3</v>
      </c>
      <c r="T102" s="26">
        <v>31</v>
      </c>
      <c r="U102" s="26">
        <v>29</v>
      </c>
      <c r="V102" s="27">
        <v>0.9355</v>
      </c>
      <c r="W102" s="26">
        <v>3.83</v>
      </c>
      <c r="X102" s="26">
        <v>3.7</v>
      </c>
      <c r="Y102" s="26">
        <v>3.8</v>
      </c>
      <c r="Z102" s="26">
        <v>7.6</v>
      </c>
      <c r="AA102" s="26">
        <v>7.4</v>
      </c>
      <c r="AB102" s="28">
        <v>35000</v>
      </c>
      <c r="AC102" s="26" t="s">
        <v>133</v>
      </c>
      <c r="AD102" s="25" t="s">
        <v>134</v>
      </c>
      <c r="AE102" s="26" t="s">
        <v>135</v>
      </c>
    </row>
    <row r="103" spans="1:31" ht="18" customHeight="1" x14ac:dyDescent="0.2">
      <c r="A103" s="22" t="s">
        <v>222</v>
      </c>
      <c r="B103" s="22" t="s">
        <v>223</v>
      </c>
      <c r="C103" s="22" t="s">
        <v>163</v>
      </c>
      <c r="D103" s="22" t="s">
        <v>224</v>
      </c>
      <c r="E103" s="22" t="s">
        <v>225</v>
      </c>
      <c r="F103" s="22" t="s">
        <v>128</v>
      </c>
      <c r="G103" s="22" t="s">
        <v>226</v>
      </c>
      <c r="H103" s="22" t="s">
        <v>167</v>
      </c>
      <c r="I103" s="22" t="s">
        <v>131</v>
      </c>
      <c r="J103" s="22" t="s">
        <v>153</v>
      </c>
      <c r="K103" s="22" t="s">
        <v>48</v>
      </c>
      <c r="L103" s="22">
        <v>21</v>
      </c>
      <c r="M103" s="22">
        <v>20</v>
      </c>
      <c r="N103" s="22">
        <v>0</v>
      </c>
      <c r="O103" s="22">
        <v>1</v>
      </c>
      <c r="P103" s="22">
        <v>3</v>
      </c>
      <c r="Q103" s="23">
        <v>0.95240000000000002</v>
      </c>
      <c r="R103" s="22">
        <v>171.4</v>
      </c>
      <c r="S103" s="22">
        <v>8.9</v>
      </c>
      <c r="T103" s="22">
        <v>17</v>
      </c>
      <c r="U103" s="22">
        <v>16</v>
      </c>
      <c r="V103" s="23">
        <v>0.94120000000000004</v>
      </c>
      <c r="W103" s="22">
        <v>3.5</v>
      </c>
      <c r="X103" s="22">
        <v>4.0999999999999996</v>
      </c>
      <c r="Y103" s="22">
        <v>4.0999999999999996</v>
      </c>
      <c r="Z103" s="22">
        <v>7.5</v>
      </c>
      <c r="AA103" s="22">
        <v>8.1999999999999993</v>
      </c>
      <c r="AB103" s="24">
        <v>35000</v>
      </c>
      <c r="AC103" s="22" t="s">
        <v>133</v>
      </c>
      <c r="AD103" s="25" t="s">
        <v>134</v>
      </c>
      <c r="AE103" s="22" t="s">
        <v>135</v>
      </c>
    </row>
    <row r="104" spans="1:31" ht="18" customHeight="1" x14ac:dyDescent="0.2">
      <c r="A104" s="26" t="s">
        <v>222</v>
      </c>
      <c r="B104" s="26" t="s">
        <v>223</v>
      </c>
      <c r="C104" s="26" t="s">
        <v>163</v>
      </c>
      <c r="D104" s="26" t="s">
        <v>224</v>
      </c>
      <c r="E104" s="26" t="s">
        <v>225</v>
      </c>
      <c r="F104" s="26" t="s">
        <v>128</v>
      </c>
      <c r="G104" s="26" t="s">
        <v>226</v>
      </c>
      <c r="H104" s="26" t="s">
        <v>167</v>
      </c>
      <c r="I104" s="26" t="s">
        <v>131</v>
      </c>
      <c r="J104" s="26" t="s">
        <v>153</v>
      </c>
      <c r="K104" s="26" t="s">
        <v>50</v>
      </c>
      <c r="L104" s="26">
        <v>20</v>
      </c>
      <c r="M104" s="26">
        <v>16</v>
      </c>
      <c r="N104" s="26">
        <v>3</v>
      </c>
      <c r="O104" s="26">
        <v>1</v>
      </c>
      <c r="P104" s="26">
        <v>4</v>
      </c>
      <c r="Q104" s="27">
        <v>0.8</v>
      </c>
      <c r="R104" s="26">
        <v>133.9</v>
      </c>
      <c r="S104" s="26">
        <v>9.1</v>
      </c>
      <c r="T104" s="26">
        <v>34</v>
      </c>
      <c r="U104" s="26">
        <v>35</v>
      </c>
      <c r="V104" s="27">
        <v>1.0294000000000001</v>
      </c>
      <c r="W104" s="26">
        <v>4.07</v>
      </c>
      <c r="X104" s="26">
        <v>4.0999999999999996</v>
      </c>
      <c r="Y104" s="26">
        <v>4.5</v>
      </c>
      <c r="Z104" s="26">
        <v>8.1999999999999993</v>
      </c>
      <c r="AA104" s="26">
        <v>8.1999999999999993</v>
      </c>
      <c r="AB104" s="28">
        <v>35000</v>
      </c>
      <c r="AC104" s="26" t="s">
        <v>136</v>
      </c>
      <c r="AD104" s="29" t="s">
        <v>137</v>
      </c>
      <c r="AE104" s="26" t="s">
        <v>135</v>
      </c>
    </row>
    <row r="105" spans="1:31" ht="18" customHeight="1" x14ac:dyDescent="0.2">
      <c r="A105" s="22" t="s">
        <v>227</v>
      </c>
      <c r="B105" s="22" t="s">
        <v>228</v>
      </c>
      <c r="C105" s="22" t="s">
        <v>148</v>
      </c>
      <c r="D105" s="22" t="s">
        <v>229</v>
      </c>
      <c r="E105" s="22" t="s">
        <v>141</v>
      </c>
      <c r="F105" s="22" t="s">
        <v>142</v>
      </c>
      <c r="G105" s="22" t="s">
        <v>230</v>
      </c>
      <c r="H105" s="22" t="s">
        <v>152</v>
      </c>
      <c r="I105" s="22" t="s">
        <v>131</v>
      </c>
      <c r="J105" s="22" t="s">
        <v>132</v>
      </c>
      <c r="K105" s="22" t="s">
        <v>32</v>
      </c>
      <c r="L105" s="22">
        <v>23</v>
      </c>
      <c r="M105" s="22">
        <v>22</v>
      </c>
      <c r="N105" s="22">
        <v>0</v>
      </c>
      <c r="O105" s="22">
        <v>1</v>
      </c>
      <c r="P105" s="22">
        <v>3</v>
      </c>
      <c r="Q105" s="23">
        <v>0.95650000000000002</v>
      </c>
      <c r="R105" s="22">
        <v>179.5</v>
      </c>
      <c r="S105" s="22">
        <v>4.5999999999999996</v>
      </c>
      <c r="T105" s="22">
        <v>25</v>
      </c>
      <c r="U105" s="22">
        <v>23</v>
      </c>
      <c r="V105" s="23">
        <v>0.92</v>
      </c>
      <c r="W105" s="22">
        <v>3.87</v>
      </c>
      <c r="X105" s="22">
        <v>3.3</v>
      </c>
      <c r="Y105" s="22">
        <v>3.5</v>
      </c>
      <c r="Z105" s="22">
        <v>7.3</v>
      </c>
      <c r="AA105" s="22">
        <v>6.6</v>
      </c>
      <c r="AB105" s="24">
        <v>55000</v>
      </c>
      <c r="AC105" s="22" t="s">
        <v>136</v>
      </c>
      <c r="AD105" s="25" t="s">
        <v>134</v>
      </c>
      <c r="AE105" s="22" t="s">
        <v>135</v>
      </c>
    </row>
    <row r="106" spans="1:31" ht="18" customHeight="1" x14ac:dyDescent="0.2">
      <c r="A106" s="26" t="s">
        <v>227</v>
      </c>
      <c r="B106" s="26" t="s">
        <v>228</v>
      </c>
      <c r="C106" s="26" t="s">
        <v>148</v>
      </c>
      <c r="D106" s="26" t="s">
        <v>229</v>
      </c>
      <c r="E106" s="26" t="s">
        <v>141</v>
      </c>
      <c r="F106" s="26" t="s">
        <v>142</v>
      </c>
      <c r="G106" s="26" t="s">
        <v>230</v>
      </c>
      <c r="H106" s="26" t="s">
        <v>152</v>
      </c>
      <c r="I106" s="26" t="s">
        <v>131</v>
      </c>
      <c r="J106" s="26" t="s">
        <v>132</v>
      </c>
      <c r="K106" s="26" t="s">
        <v>36</v>
      </c>
      <c r="L106" s="26">
        <v>20</v>
      </c>
      <c r="M106" s="26">
        <v>15</v>
      </c>
      <c r="N106" s="26">
        <v>3</v>
      </c>
      <c r="O106" s="26">
        <v>2</v>
      </c>
      <c r="P106" s="26">
        <v>0</v>
      </c>
      <c r="Q106" s="27">
        <v>0.75</v>
      </c>
      <c r="R106" s="26">
        <v>112.7</v>
      </c>
      <c r="S106" s="26">
        <v>1.7</v>
      </c>
      <c r="T106" s="26">
        <v>28</v>
      </c>
      <c r="U106" s="26">
        <v>19</v>
      </c>
      <c r="V106" s="27">
        <v>0.67859999999999998</v>
      </c>
      <c r="W106" s="26">
        <v>3.67</v>
      </c>
      <c r="X106" s="26">
        <v>2.6</v>
      </c>
      <c r="Y106" s="26">
        <v>4.9000000000000004</v>
      </c>
      <c r="Z106" s="26">
        <v>6.9</v>
      </c>
      <c r="AA106" s="26">
        <v>5.2</v>
      </c>
      <c r="AB106" s="28">
        <v>55000</v>
      </c>
      <c r="AC106" s="26" t="s">
        <v>136</v>
      </c>
      <c r="AD106" s="30" t="s">
        <v>204</v>
      </c>
      <c r="AE106" s="26" t="s">
        <v>154</v>
      </c>
    </row>
    <row r="107" spans="1:31" ht="18" customHeight="1" x14ac:dyDescent="0.2">
      <c r="A107" s="22" t="s">
        <v>227</v>
      </c>
      <c r="B107" s="22" t="s">
        <v>228</v>
      </c>
      <c r="C107" s="22" t="s">
        <v>148</v>
      </c>
      <c r="D107" s="22" t="s">
        <v>229</v>
      </c>
      <c r="E107" s="22" t="s">
        <v>141</v>
      </c>
      <c r="F107" s="22" t="s">
        <v>142</v>
      </c>
      <c r="G107" s="22" t="s">
        <v>230</v>
      </c>
      <c r="H107" s="22" t="s">
        <v>152</v>
      </c>
      <c r="I107" s="22" t="s">
        <v>131</v>
      </c>
      <c r="J107" s="22" t="s">
        <v>132</v>
      </c>
      <c r="K107" s="22" t="s">
        <v>40</v>
      </c>
      <c r="L107" s="22">
        <v>21</v>
      </c>
      <c r="M107" s="22">
        <v>19</v>
      </c>
      <c r="N107" s="22">
        <v>1</v>
      </c>
      <c r="O107" s="22">
        <v>1</v>
      </c>
      <c r="P107" s="22">
        <v>5</v>
      </c>
      <c r="Q107" s="23">
        <v>0.90480000000000005</v>
      </c>
      <c r="R107" s="22">
        <v>145.69999999999999</v>
      </c>
      <c r="S107" s="22">
        <v>7.1</v>
      </c>
      <c r="T107" s="22">
        <v>28</v>
      </c>
      <c r="U107" s="22">
        <v>31</v>
      </c>
      <c r="V107" s="23">
        <v>1.1071</v>
      </c>
      <c r="W107" s="22">
        <v>3.7</v>
      </c>
      <c r="X107" s="22">
        <v>3.3</v>
      </c>
      <c r="Y107" s="22">
        <v>3.2</v>
      </c>
      <c r="Z107" s="22">
        <v>7.1</v>
      </c>
      <c r="AA107" s="22">
        <v>6.6</v>
      </c>
      <c r="AB107" s="24">
        <v>55000</v>
      </c>
      <c r="AC107" s="22" t="s">
        <v>136</v>
      </c>
      <c r="AD107" s="25" t="s">
        <v>134</v>
      </c>
      <c r="AE107" s="22" t="s">
        <v>135</v>
      </c>
    </row>
    <row r="108" spans="1:31" ht="18" customHeight="1" x14ac:dyDescent="0.2">
      <c r="A108" s="26" t="s">
        <v>227</v>
      </c>
      <c r="B108" s="26" t="s">
        <v>228</v>
      </c>
      <c r="C108" s="26" t="s">
        <v>148</v>
      </c>
      <c r="D108" s="26" t="s">
        <v>229</v>
      </c>
      <c r="E108" s="26" t="s">
        <v>141</v>
      </c>
      <c r="F108" s="26" t="s">
        <v>142</v>
      </c>
      <c r="G108" s="26" t="s">
        <v>230</v>
      </c>
      <c r="H108" s="26" t="s">
        <v>152</v>
      </c>
      <c r="I108" s="26" t="s">
        <v>131</v>
      </c>
      <c r="J108" s="26" t="s">
        <v>132</v>
      </c>
      <c r="K108" s="26" t="s">
        <v>44</v>
      </c>
      <c r="L108" s="26">
        <v>22</v>
      </c>
      <c r="M108" s="26">
        <v>20</v>
      </c>
      <c r="N108" s="26">
        <v>0</v>
      </c>
      <c r="O108" s="26">
        <v>2</v>
      </c>
      <c r="P108" s="26">
        <v>1</v>
      </c>
      <c r="Q108" s="27">
        <v>0.90910000000000002</v>
      </c>
      <c r="R108" s="26">
        <v>169.7</v>
      </c>
      <c r="S108" s="26">
        <v>4.5</v>
      </c>
      <c r="T108" s="26">
        <v>18</v>
      </c>
      <c r="U108" s="26">
        <v>16</v>
      </c>
      <c r="V108" s="27">
        <v>0.88890000000000002</v>
      </c>
      <c r="W108" s="26">
        <v>4.2699999999999996</v>
      </c>
      <c r="X108" s="26">
        <v>3.9</v>
      </c>
      <c r="Y108" s="26">
        <v>4.5999999999999996</v>
      </c>
      <c r="Z108" s="26">
        <v>8.4</v>
      </c>
      <c r="AA108" s="26">
        <v>7.8</v>
      </c>
      <c r="AB108" s="28">
        <v>55000</v>
      </c>
      <c r="AC108" s="26" t="s">
        <v>133</v>
      </c>
      <c r="AD108" s="25" t="s">
        <v>134</v>
      </c>
      <c r="AE108" s="26" t="s">
        <v>135</v>
      </c>
    </row>
    <row r="109" spans="1:31" ht="18" customHeight="1" x14ac:dyDescent="0.2">
      <c r="A109" s="22" t="s">
        <v>227</v>
      </c>
      <c r="B109" s="22" t="s">
        <v>228</v>
      </c>
      <c r="C109" s="22" t="s">
        <v>148</v>
      </c>
      <c r="D109" s="22" t="s">
        <v>229</v>
      </c>
      <c r="E109" s="22" t="s">
        <v>141</v>
      </c>
      <c r="F109" s="22" t="s">
        <v>142</v>
      </c>
      <c r="G109" s="22" t="s">
        <v>230</v>
      </c>
      <c r="H109" s="22" t="s">
        <v>152</v>
      </c>
      <c r="I109" s="22" t="s">
        <v>131</v>
      </c>
      <c r="J109" s="22" t="s">
        <v>132</v>
      </c>
      <c r="K109" s="22" t="s">
        <v>48</v>
      </c>
      <c r="L109" s="22">
        <v>21</v>
      </c>
      <c r="M109" s="22">
        <v>21</v>
      </c>
      <c r="N109" s="22">
        <v>0</v>
      </c>
      <c r="O109" s="22">
        <v>0</v>
      </c>
      <c r="P109" s="22">
        <v>4</v>
      </c>
      <c r="Q109" s="23">
        <v>1</v>
      </c>
      <c r="R109" s="22">
        <v>185.9</v>
      </c>
      <c r="S109" s="22">
        <v>16.600000000000001</v>
      </c>
      <c r="T109" s="22">
        <v>23</v>
      </c>
      <c r="U109" s="22">
        <v>14</v>
      </c>
      <c r="V109" s="23">
        <v>0.60870000000000002</v>
      </c>
      <c r="W109" s="22">
        <v>3.7</v>
      </c>
      <c r="X109" s="22">
        <v>3.3</v>
      </c>
      <c r="Y109" s="22">
        <v>3</v>
      </c>
      <c r="Z109" s="22">
        <v>7</v>
      </c>
      <c r="AA109" s="22">
        <v>6.6</v>
      </c>
      <c r="AB109" s="24">
        <v>55000</v>
      </c>
      <c r="AC109" s="22" t="s">
        <v>136</v>
      </c>
      <c r="AD109" s="25" t="s">
        <v>134</v>
      </c>
      <c r="AE109" s="22" t="s">
        <v>135</v>
      </c>
    </row>
    <row r="110" spans="1:31" ht="18" customHeight="1" x14ac:dyDescent="0.2">
      <c r="A110" s="26" t="s">
        <v>227</v>
      </c>
      <c r="B110" s="26" t="s">
        <v>228</v>
      </c>
      <c r="C110" s="26" t="s">
        <v>148</v>
      </c>
      <c r="D110" s="26" t="s">
        <v>229</v>
      </c>
      <c r="E110" s="26" t="s">
        <v>141</v>
      </c>
      <c r="F110" s="26" t="s">
        <v>142</v>
      </c>
      <c r="G110" s="26" t="s">
        <v>230</v>
      </c>
      <c r="H110" s="26" t="s">
        <v>152</v>
      </c>
      <c r="I110" s="26" t="s">
        <v>131</v>
      </c>
      <c r="J110" s="26" t="s">
        <v>132</v>
      </c>
      <c r="K110" s="26" t="s">
        <v>50</v>
      </c>
      <c r="L110" s="26">
        <v>20</v>
      </c>
      <c r="M110" s="26">
        <v>20</v>
      </c>
      <c r="N110" s="26">
        <v>0</v>
      </c>
      <c r="O110" s="26">
        <v>0</v>
      </c>
      <c r="P110" s="26">
        <v>4</v>
      </c>
      <c r="Q110" s="27">
        <v>1</v>
      </c>
      <c r="R110" s="26">
        <v>169.7</v>
      </c>
      <c r="S110" s="26">
        <v>1.4</v>
      </c>
      <c r="T110" s="26">
        <v>35</v>
      </c>
      <c r="U110" s="26">
        <v>22</v>
      </c>
      <c r="V110" s="27">
        <v>0.62860000000000005</v>
      </c>
      <c r="W110" s="26">
        <v>3.57</v>
      </c>
      <c r="X110" s="26">
        <v>3.6</v>
      </c>
      <c r="Y110" s="26">
        <v>3.3</v>
      </c>
      <c r="Z110" s="26">
        <v>7.1</v>
      </c>
      <c r="AA110" s="26">
        <v>7.2</v>
      </c>
      <c r="AB110" s="28">
        <v>55000</v>
      </c>
      <c r="AC110" s="26" t="s">
        <v>136</v>
      </c>
      <c r="AD110" s="25" t="s">
        <v>134</v>
      </c>
      <c r="AE110" s="26" t="s">
        <v>135</v>
      </c>
    </row>
    <row r="111" spans="1:31" ht="18" customHeight="1" x14ac:dyDescent="0.2">
      <c r="A111" s="22" t="s">
        <v>231</v>
      </c>
      <c r="B111" s="22" t="s">
        <v>232</v>
      </c>
      <c r="C111" s="22" t="s">
        <v>125</v>
      </c>
      <c r="D111" s="22" t="s">
        <v>233</v>
      </c>
      <c r="E111" s="22" t="s">
        <v>197</v>
      </c>
      <c r="F111" s="22" t="s">
        <v>128</v>
      </c>
      <c r="G111" s="22" t="s">
        <v>234</v>
      </c>
      <c r="H111" s="22" t="s">
        <v>130</v>
      </c>
      <c r="I111" s="22" t="s">
        <v>131</v>
      </c>
      <c r="J111" s="22" t="s">
        <v>132</v>
      </c>
      <c r="K111" s="22" t="s">
        <v>32</v>
      </c>
      <c r="L111" s="22">
        <v>23</v>
      </c>
      <c r="M111" s="22">
        <v>19</v>
      </c>
      <c r="N111" s="22">
        <v>2</v>
      </c>
      <c r="O111" s="22">
        <v>2</v>
      </c>
      <c r="P111" s="22">
        <v>4</v>
      </c>
      <c r="Q111" s="23">
        <v>0.82609999999999995</v>
      </c>
      <c r="R111" s="22">
        <v>159.9</v>
      </c>
      <c r="S111" s="22">
        <v>17.7</v>
      </c>
      <c r="T111" s="22">
        <v>19</v>
      </c>
      <c r="U111" s="22">
        <v>14</v>
      </c>
      <c r="V111" s="23">
        <v>0.73680000000000001</v>
      </c>
      <c r="W111" s="22">
        <v>3.43</v>
      </c>
      <c r="X111" s="22">
        <v>3.6</v>
      </c>
      <c r="Y111" s="22">
        <v>3.8</v>
      </c>
      <c r="Z111" s="22">
        <v>7</v>
      </c>
      <c r="AA111" s="22">
        <v>7.2</v>
      </c>
      <c r="AB111" s="24">
        <v>55000</v>
      </c>
      <c r="AC111" s="22" t="s">
        <v>136</v>
      </c>
      <c r="AD111" s="29" t="s">
        <v>137</v>
      </c>
      <c r="AE111" s="22" t="s">
        <v>135</v>
      </c>
    </row>
    <row r="112" spans="1:31" ht="18" customHeight="1" x14ac:dyDescent="0.2">
      <c r="A112" s="26" t="s">
        <v>231</v>
      </c>
      <c r="B112" s="26" t="s">
        <v>232</v>
      </c>
      <c r="C112" s="26" t="s">
        <v>125</v>
      </c>
      <c r="D112" s="26" t="s">
        <v>233</v>
      </c>
      <c r="E112" s="26" t="s">
        <v>197</v>
      </c>
      <c r="F112" s="26" t="s">
        <v>128</v>
      </c>
      <c r="G112" s="26" t="s">
        <v>234</v>
      </c>
      <c r="H112" s="26" t="s">
        <v>130</v>
      </c>
      <c r="I112" s="26" t="s">
        <v>131</v>
      </c>
      <c r="J112" s="26" t="s">
        <v>132</v>
      </c>
      <c r="K112" s="26" t="s">
        <v>36</v>
      </c>
      <c r="L112" s="26">
        <v>20</v>
      </c>
      <c r="M112" s="26">
        <v>18</v>
      </c>
      <c r="N112" s="26">
        <v>1</v>
      </c>
      <c r="O112" s="26">
        <v>1</v>
      </c>
      <c r="P112" s="26">
        <v>3</v>
      </c>
      <c r="Q112" s="27">
        <v>0.9</v>
      </c>
      <c r="R112" s="26">
        <v>142.19999999999999</v>
      </c>
      <c r="S112" s="26">
        <v>15.1</v>
      </c>
      <c r="T112" s="26">
        <v>18</v>
      </c>
      <c r="U112" s="26">
        <v>16</v>
      </c>
      <c r="V112" s="27">
        <v>0.88890000000000002</v>
      </c>
      <c r="W112" s="26">
        <v>3.9</v>
      </c>
      <c r="X112" s="26">
        <v>3.7</v>
      </c>
      <c r="Y112" s="26">
        <v>4.3</v>
      </c>
      <c r="Z112" s="26">
        <v>7.8</v>
      </c>
      <c r="AA112" s="26">
        <v>7.4</v>
      </c>
      <c r="AB112" s="28">
        <v>55000</v>
      </c>
      <c r="AC112" s="26" t="s">
        <v>133</v>
      </c>
      <c r="AD112" s="25" t="s">
        <v>134</v>
      </c>
      <c r="AE112" s="26" t="s">
        <v>135</v>
      </c>
    </row>
    <row r="113" spans="1:31" ht="18" customHeight="1" x14ac:dyDescent="0.2">
      <c r="A113" s="22" t="s">
        <v>231</v>
      </c>
      <c r="B113" s="22" t="s">
        <v>232</v>
      </c>
      <c r="C113" s="22" t="s">
        <v>125</v>
      </c>
      <c r="D113" s="22" t="s">
        <v>233</v>
      </c>
      <c r="E113" s="22" t="s">
        <v>197</v>
      </c>
      <c r="F113" s="22" t="s">
        <v>128</v>
      </c>
      <c r="G113" s="22" t="s">
        <v>234</v>
      </c>
      <c r="H113" s="22" t="s">
        <v>130</v>
      </c>
      <c r="I113" s="22" t="s">
        <v>131</v>
      </c>
      <c r="J113" s="22" t="s">
        <v>132</v>
      </c>
      <c r="K113" s="22" t="s">
        <v>40</v>
      </c>
      <c r="L113" s="22">
        <v>21</v>
      </c>
      <c r="M113" s="22">
        <v>15</v>
      </c>
      <c r="N113" s="22">
        <v>1</v>
      </c>
      <c r="O113" s="22">
        <v>5</v>
      </c>
      <c r="P113" s="22">
        <v>3</v>
      </c>
      <c r="Q113" s="23">
        <v>0.71430000000000005</v>
      </c>
      <c r="R113" s="22">
        <v>139.5</v>
      </c>
      <c r="S113" s="22">
        <v>1.1000000000000001</v>
      </c>
      <c r="T113" s="22">
        <v>21</v>
      </c>
      <c r="U113" s="22">
        <v>17</v>
      </c>
      <c r="V113" s="23">
        <v>0.8095</v>
      </c>
      <c r="W113" s="22">
        <v>4.5999999999999996</v>
      </c>
      <c r="X113" s="22">
        <v>3.2</v>
      </c>
      <c r="Y113" s="22">
        <v>3.2</v>
      </c>
      <c r="Z113" s="22">
        <v>8.1</v>
      </c>
      <c r="AA113" s="22">
        <v>6.4</v>
      </c>
      <c r="AB113" s="24">
        <v>55000</v>
      </c>
      <c r="AC113" s="22" t="s">
        <v>136</v>
      </c>
      <c r="AD113" s="29" t="s">
        <v>137</v>
      </c>
      <c r="AE113" s="22" t="s">
        <v>135</v>
      </c>
    </row>
    <row r="114" spans="1:31" ht="18" customHeight="1" x14ac:dyDescent="0.2">
      <c r="A114" s="26" t="s">
        <v>231</v>
      </c>
      <c r="B114" s="26" t="s">
        <v>232</v>
      </c>
      <c r="C114" s="26" t="s">
        <v>125</v>
      </c>
      <c r="D114" s="26" t="s">
        <v>233</v>
      </c>
      <c r="E114" s="26" t="s">
        <v>197</v>
      </c>
      <c r="F114" s="26" t="s">
        <v>128</v>
      </c>
      <c r="G114" s="26" t="s">
        <v>234</v>
      </c>
      <c r="H114" s="26" t="s">
        <v>130</v>
      </c>
      <c r="I114" s="26" t="s">
        <v>131</v>
      </c>
      <c r="J114" s="26" t="s">
        <v>132</v>
      </c>
      <c r="K114" s="26" t="s">
        <v>44</v>
      </c>
      <c r="L114" s="26">
        <v>22</v>
      </c>
      <c r="M114" s="26">
        <v>19</v>
      </c>
      <c r="N114" s="26">
        <v>3</v>
      </c>
      <c r="O114" s="26">
        <v>0</v>
      </c>
      <c r="P114" s="26">
        <v>1</v>
      </c>
      <c r="Q114" s="27">
        <v>0.86360000000000003</v>
      </c>
      <c r="R114" s="26">
        <v>145.9</v>
      </c>
      <c r="S114" s="26">
        <v>10.7</v>
      </c>
      <c r="T114" s="26">
        <v>22</v>
      </c>
      <c r="U114" s="26">
        <v>22</v>
      </c>
      <c r="V114" s="27">
        <v>1</v>
      </c>
      <c r="W114" s="26">
        <v>3.93</v>
      </c>
      <c r="X114" s="26">
        <v>3.5</v>
      </c>
      <c r="Y114" s="26">
        <v>4.5</v>
      </c>
      <c r="Z114" s="26">
        <v>7.7</v>
      </c>
      <c r="AA114" s="26">
        <v>7</v>
      </c>
      <c r="AB114" s="28">
        <v>55000</v>
      </c>
      <c r="AC114" s="26" t="s">
        <v>133</v>
      </c>
      <c r="AD114" s="25" t="s">
        <v>134</v>
      </c>
      <c r="AE114" s="26" t="s">
        <v>135</v>
      </c>
    </row>
    <row r="115" spans="1:31" ht="18" customHeight="1" x14ac:dyDescent="0.2">
      <c r="A115" s="22" t="s">
        <v>231</v>
      </c>
      <c r="B115" s="22" t="s">
        <v>232</v>
      </c>
      <c r="C115" s="22" t="s">
        <v>125</v>
      </c>
      <c r="D115" s="22" t="s">
        <v>233</v>
      </c>
      <c r="E115" s="22" t="s">
        <v>197</v>
      </c>
      <c r="F115" s="22" t="s">
        <v>128</v>
      </c>
      <c r="G115" s="22" t="s">
        <v>234</v>
      </c>
      <c r="H115" s="22" t="s">
        <v>130</v>
      </c>
      <c r="I115" s="22" t="s">
        <v>131</v>
      </c>
      <c r="J115" s="22" t="s">
        <v>132</v>
      </c>
      <c r="K115" s="22" t="s">
        <v>48</v>
      </c>
      <c r="L115" s="22">
        <v>21</v>
      </c>
      <c r="M115" s="22">
        <v>18</v>
      </c>
      <c r="N115" s="22">
        <v>0</v>
      </c>
      <c r="O115" s="22">
        <v>3</v>
      </c>
      <c r="P115" s="22">
        <v>3</v>
      </c>
      <c r="Q115" s="23">
        <v>0.85709999999999997</v>
      </c>
      <c r="R115" s="22">
        <v>161.6</v>
      </c>
      <c r="S115" s="22">
        <v>17.2</v>
      </c>
      <c r="T115" s="22">
        <v>33</v>
      </c>
      <c r="U115" s="22">
        <v>34</v>
      </c>
      <c r="V115" s="23">
        <v>1.0303</v>
      </c>
      <c r="W115" s="22">
        <v>4</v>
      </c>
      <c r="X115" s="22">
        <v>2.8</v>
      </c>
      <c r="Y115" s="22">
        <v>3</v>
      </c>
      <c r="Z115" s="22">
        <v>7.1</v>
      </c>
      <c r="AA115" s="22">
        <v>5.6</v>
      </c>
      <c r="AB115" s="24">
        <v>55000</v>
      </c>
      <c r="AC115" s="22" t="s">
        <v>136</v>
      </c>
      <c r="AD115" s="25" t="s">
        <v>134</v>
      </c>
      <c r="AE115" s="22" t="s">
        <v>135</v>
      </c>
    </row>
    <row r="116" spans="1:31" ht="18" customHeight="1" x14ac:dyDescent="0.2">
      <c r="A116" s="26" t="s">
        <v>231</v>
      </c>
      <c r="B116" s="26" t="s">
        <v>232</v>
      </c>
      <c r="C116" s="26" t="s">
        <v>125</v>
      </c>
      <c r="D116" s="26" t="s">
        <v>233</v>
      </c>
      <c r="E116" s="26" t="s">
        <v>197</v>
      </c>
      <c r="F116" s="26" t="s">
        <v>128</v>
      </c>
      <c r="G116" s="26" t="s">
        <v>234</v>
      </c>
      <c r="H116" s="26" t="s">
        <v>130</v>
      </c>
      <c r="I116" s="26" t="s">
        <v>131</v>
      </c>
      <c r="J116" s="26" t="s">
        <v>132</v>
      </c>
      <c r="K116" s="26" t="s">
        <v>50</v>
      </c>
      <c r="L116" s="26">
        <v>20</v>
      </c>
      <c r="M116" s="26">
        <v>16</v>
      </c>
      <c r="N116" s="26">
        <v>1</v>
      </c>
      <c r="O116" s="26">
        <v>3</v>
      </c>
      <c r="P116" s="26">
        <v>4</v>
      </c>
      <c r="Q116" s="27">
        <v>0.8</v>
      </c>
      <c r="R116" s="26">
        <v>131.80000000000001</v>
      </c>
      <c r="S116" s="26">
        <v>13.8</v>
      </c>
      <c r="T116" s="26">
        <v>26</v>
      </c>
      <c r="U116" s="26">
        <v>17</v>
      </c>
      <c r="V116" s="27">
        <v>0.65380000000000005</v>
      </c>
      <c r="W116" s="26">
        <v>3.57</v>
      </c>
      <c r="X116" s="26">
        <v>3.5</v>
      </c>
      <c r="Y116" s="26">
        <v>3.2</v>
      </c>
      <c r="Z116" s="26">
        <v>7</v>
      </c>
      <c r="AA116" s="26">
        <v>7</v>
      </c>
      <c r="AB116" s="28">
        <v>55000</v>
      </c>
      <c r="AC116" s="26" t="s">
        <v>136</v>
      </c>
      <c r="AD116" s="29" t="s">
        <v>137</v>
      </c>
      <c r="AE116" s="26" t="s">
        <v>135</v>
      </c>
    </row>
    <row r="117" spans="1:31" ht="18" customHeight="1" x14ac:dyDescent="0.2">
      <c r="A117" s="22" t="s">
        <v>235</v>
      </c>
      <c r="B117" s="22" t="s">
        <v>236</v>
      </c>
      <c r="C117" s="22" t="s">
        <v>171</v>
      </c>
      <c r="D117" s="22" t="s">
        <v>237</v>
      </c>
      <c r="E117" s="22" t="s">
        <v>238</v>
      </c>
      <c r="F117" s="22" t="s">
        <v>142</v>
      </c>
      <c r="G117" s="22" t="s">
        <v>239</v>
      </c>
      <c r="H117" s="22" t="s">
        <v>175</v>
      </c>
      <c r="I117" s="22" t="s">
        <v>131</v>
      </c>
      <c r="J117" s="22" t="s">
        <v>144</v>
      </c>
      <c r="K117" s="22" t="s">
        <v>32</v>
      </c>
      <c r="L117" s="22">
        <v>23</v>
      </c>
      <c r="M117" s="22">
        <v>23</v>
      </c>
      <c r="N117" s="22">
        <v>0</v>
      </c>
      <c r="O117" s="22">
        <v>0</v>
      </c>
      <c r="P117" s="22">
        <v>5</v>
      </c>
      <c r="Q117" s="23">
        <v>1</v>
      </c>
      <c r="R117" s="22">
        <v>184.2</v>
      </c>
      <c r="S117" s="22">
        <v>6.7</v>
      </c>
      <c r="T117" s="22">
        <v>20</v>
      </c>
      <c r="U117" s="22">
        <v>14</v>
      </c>
      <c r="V117" s="23">
        <v>0.7</v>
      </c>
      <c r="W117" s="22">
        <v>3.67</v>
      </c>
      <c r="X117" s="22">
        <v>4.8</v>
      </c>
      <c r="Y117" s="22">
        <v>3.7</v>
      </c>
      <c r="Z117" s="22">
        <v>8</v>
      </c>
      <c r="AA117" s="22">
        <v>9.6</v>
      </c>
      <c r="AB117" s="24">
        <v>75000</v>
      </c>
      <c r="AC117" s="22" t="s">
        <v>133</v>
      </c>
      <c r="AD117" s="25" t="s">
        <v>134</v>
      </c>
      <c r="AE117" s="22" t="s">
        <v>135</v>
      </c>
    </row>
    <row r="118" spans="1:31" ht="18" customHeight="1" x14ac:dyDescent="0.2">
      <c r="A118" s="26" t="s">
        <v>235</v>
      </c>
      <c r="B118" s="26" t="s">
        <v>236</v>
      </c>
      <c r="C118" s="26" t="s">
        <v>171</v>
      </c>
      <c r="D118" s="26" t="s">
        <v>237</v>
      </c>
      <c r="E118" s="26" t="s">
        <v>238</v>
      </c>
      <c r="F118" s="26" t="s">
        <v>142</v>
      </c>
      <c r="G118" s="26" t="s">
        <v>239</v>
      </c>
      <c r="H118" s="26" t="s">
        <v>175</v>
      </c>
      <c r="I118" s="26" t="s">
        <v>131</v>
      </c>
      <c r="J118" s="26" t="s">
        <v>144</v>
      </c>
      <c r="K118" s="26" t="s">
        <v>36</v>
      </c>
      <c r="L118" s="26">
        <v>20</v>
      </c>
      <c r="M118" s="26">
        <v>19</v>
      </c>
      <c r="N118" s="26">
        <v>0</v>
      </c>
      <c r="O118" s="26">
        <v>1</v>
      </c>
      <c r="P118" s="26">
        <v>1</v>
      </c>
      <c r="Q118" s="27">
        <v>0.95</v>
      </c>
      <c r="R118" s="26">
        <v>145.1</v>
      </c>
      <c r="S118" s="26">
        <v>5.0999999999999996</v>
      </c>
      <c r="T118" s="26">
        <v>20</v>
      </c>
      <c r="U118" s="26">
        <v>22</v>
      </c>
      <c r="V118" s="27">
        <v>1.1000000000000001</v>
      </c>
      <c r="W118" s="26">
        <v>3.5</v>
      </c>
      <c r="X118" s="26">
        <v>4.9000000000000004</v>
      </c>
      <c r="Y118" s="26">
        <v>4.3</v>
      </c>
      <c r="Z118" s="26">
        <v>8</v>
      </c>
      <c r="AA118" s="26">
        <v>9.8000000000000007</v>
      </c>
      <c r="AB118" s="28">
        <v>75000</v>
      </c>
      <c r="AC118" s="26" t="s">
        <v>133</v>
      </c>
      <c r="AD118" s="25" t="s">
        <v>134</v>
      </c>
      <c r="AE118" s="26" t="s">
        <v>135</v>
      </c>
    </row>
    <row r="119" spans="1:31" ht="18" customHeight="1" x14ac:dyDescent="0.2">
      <c r="A119" s="22" t="s">
        <v>235</v>
      </c>
      <c r="B119" s="22" t="s">
        <v>236</v>
      </c>
      <c r="C119" s="22" t="s">
        <v>171</v>
      </c>
      <c r="D119" s="22" t="s">
        <v>237</v>
      </c>
      <c r="E119" s="22" t="s">
        <v>238</v>
      </c>
      <c r="F119" s="22" t="s">
        <v>142</v>
      </c>
      <c r="G119" s="22" t="s">
        <v>239</v>
      </c>
      <c r="H119" s="22" t="s">
        <v>175</v>
      </c>
      <c r="I119" s="22" t="s">
        <v>131</v>
      </c>
      <c r="J119" s="22" t="s">
        <v>144</v>
      </c>
      <c r="K119" s="22" t="s">
        <v>40</v>
      </c>
      <c r="L119" s="22">
        <v>21</v>
      </c>
      <c r="M119" s="22">
        <v>18</v>
      </c>
      <c r="N119" s="22">
        <v>3</v>
      </c>
      <c r="O119" s="22">
        <v>0</v>
      </c>
      <c r="P119" s="22">
        <v>5</v>
      </c>
      <c r="Q119" s="23">
        <v>0.85709999999999997</v>
      </c>
      <c r="R119" s="22">
        <v>161.69999999999999</v>
      </c>
      <c r="S119" s="22">
        <v>11.3</v>
      </c>
      <c r="T119" s="22">
        <v>35</v>
      </c>
      <c r="U119" s="22">
        <v>32</v>
      </c>
      <c r="V119" s="23">
        <v>0.9143</v>
      </c>
      <c r="W119" s="22">
        <v>3.97</v>
      </c>
      <c r="X119" s="22">
        <v>2.7</v>
      </c>
      <c r="Y119" s="22">
        <v>3.9</v>
      </c>
      <c r="Z119" s="22">
        <v>7.2</v>
      </c>
      <c r="AA119" s="22">
        <v>5.4</v>
      </c>
      <c r="AB119" s="24">
        <v>75000</v>
      </c>
      <c r="AC119" s="22" t="s">
        <v>136</v>
      </c>
      <c r="AD119" s="25" t="s">
        <v>134</v>
      </c>
      <c r="AE119" s="22" t="s">
        <v>135</v>
      </c>
    </row>
    <row r="120" spans="1:31" ht="18" customHeight="1" x14ac:dyDescent="0.2">
      <c r="A120" s="26" t="s">
        <v>235</v>
      </c>
      <c r="B120" s="26" t="s">
        <v>236</v>
      </c>
      <c r="C120" s="26" t="s">
        <v>171</v>
      </c>
      <c r="D120" s="26" t="s">
        <v>237</v>
      </c>
      <c r="E120" s="26" t="s">
        <v>238</v>
      </c>
      <c r="F120" s="26" t="s">
        <v>142</v>
      </c>
      <c r="G120" s="26" t="s">
        <v>239</v>
      </c>
      <c r="H120" s="26" t="s">
        <v>175</v>
      </c>
      <c r="I120" s="26" t="s">
        <v>131</v>
      </c>
      <c r="J120" s="26" t="s">
        <v>144</v>
      </c>
      <c r="K120" s="26" t="s">
        <v>44</v>
      </c>
      <c r="L120" s="26">
        <v>22</v>
      </c>
      <c r="M120" s="26">
        <v>18</v>
      </c>
      <c r="N120" s="26">
        <v>2</v>
      </c>
      <c r="O120" s="26">
        <v>2</v>
      </c>
      <c r="P120" s="26">
        <v>4</v>
      </c>
      <c r="Q120" s="27">
        <v>0.81820000000000004</v>
      </c>
      <c r="R120" s="26">
        <v>135.69999999999999</v>
      </c>
      <c r="S120" s="26">
        <v>10.1</v>
      </c>
      <c r="T120" s="26">
        <v>24</v>
      </c>
      <c r="U120" s="26">
        <v>22</v>
      </c>
      <c r="V120" s="27">
        <v>0.91669999999999996</v>
      </c>
      <c r="W120" s="26">
        <v>3.87</v>
      </c>
      <c r="X120" s="26">
        <v>2.7</v>
      </c>
      <c r="Y120" s="26">
        <v>4.7</v>
      </c>
      <c r="Z120" s="26">
        <v>7.2</v>
      </c>
      <c r="AA120" s="26">
        <v>5.4</v>
      </c>
      <c r="AB120" s="28">
        <v>75000</v>
      </c>
      <c r="AC120" s="26" t="s">
        <v>136</v>
      </c>
      <c r="AD120" s="29" t="s">
        <v>137</v>
      </c>
      <c r="AE120" s="26" t="s">
        <v>135</v>
      </c>
    </row>
    <row r="121" spans="1:31" ht="18" customHeight="1" x14ac:dyDescent="0.2">
      <c r="A121" s="22" t="s">
        <v>235</v>
      </c>
      <c r="B121" s="22" t="s">
        <v>236</v>
      </c>
      <c r="C121" s="22" t="s">
        <v>171</v>
      </c>
      <c r="D121" s="22" t="s">
        <v>237</v>
      </c>
      <c r="E121" s="22" t="s">
        <v>238</v>
      </c>
      <c r="F121" s="22" t="s">
        <v>142</v>
      </c>
      <c r="G121" s="22" t="s">
        <v>239</v>
      </c>
      <c r="H121" s="22" t="s">
        <v>175</v>
      </c>
      <c r="I121" s="22" t="s">
        <v>131</v>
      </c>
      <c r="J121" s="22" t="s">
        <v>144</v>
      </c>
      <c r="K121" s="22" t="s">
        <v>48</v>
      </c>
      <c r="L121" s="22">
        <v>21</v>
      </c>
      <c r="M121" s="22">
        <v>21</v>
      </c>
      <c r="N121" s="22">
        <v>0</v>
      </c>
      <c r="O121" s="22">
        <v>0</v>
      </c>
      <c r="P121" s="22">
        <v>4</v>
      </c>
      <c r="Q121" s="23">
        <v>1</v>
      </c>
      <c r="R121" s="22">
        <v>175.8</v>
      </c>
      <c r="S121" s="22">
        <v>7.7</v>
      </c>
      <c r="T121" s="22">
        <v>33</v>
      </c>
      <c r="U121" s="22">
        <v>22</v>
      </c>
      <c r="V121" s="23">
        <v>0.66669999999999996</v>
      </c>
      <c r="W121" s="22">
        <v>4.2</v>
      </c>
      <c r="X121" s="22">
        <v>3.3</v>
      </c>
      <c r="Y121" s="22">
        <v>4</v>
      </c>
      <c r="Z121" s="22">
        <v>7.8</v>
      </c>
      <c r="AA121" s="22">
        <v>6.6</v>
      </c>
      <c r="AB121" s="24">
        <v>75000</v>
      </c>
      <c r="AC121" s="22" t="s">
        <v>133</v>
      </c>
      <c r="AD121" s="25" t="s">
        <v>134</v>
      </c>
      <c r="AE121" s="22" t="s">
        <v>135</v>
      </c>
    </row>
    <row r="122" spans="1:31" ht="18" customHeight="1" x14ac:dyDescent="0.2">
      <c r="A122" s="26" t="s">
        <v>235</v>
      </c>
      <c r="B122" s="26" t="s">
        <v>236</v>
      </c>
      <c r="C122" s="26" t="s">
        <v>171</v>
      </c>
      <c r="D122" s="26" t="s">
        <v>237</v>
      </c>
      <c r="E122" s="26" t="s">
        <v>238</v>
      </c>
      <c r="F122" s="26" t="s">
        <v>142</v>
      </c>
      <c r="G122" s="26" t="s">
        <v>239</v>
      </c>
      <c r="H122" s="26" t="s">
        <v>175</v>
      </c>
      <c r="I122" s="26" t="s">
        <v>131</v>
      </c>
      <c r="J122" s="26" t="s">
        <v>144</v>
      </c>
      <c r="K122" s="26" t="s">
        <v>50</v>
      </c>
      <c r="L122" s="26">
        <v>20</v>
      </c>
      <c r="M122" s="26">
        <v>15</v>
      </c>
      <c r="N122" s="26">
        <v>0</v>
      </c>
      <c r="O122" s="26">
        <v>5</v>
      </c>
      <c r="P122" s="26">
        <v>3</v>
      </c>
      <c r="Q122" s="27">
        <v>0.75</v>
      </c>
      <c r="R122" s="26">
        <v>113.1</v>
      </c>
      <c r="S122" s="26">
        <v>18</v>
      </c>
      <c r="T122" s="26">
        <v>25</v>
      </c>
      <c r="U122" s="26">
        <v>27</v>
      </c>
      <c r="V122" s="27">
        <v>1.08</v>
      </c>
      <c r="W122" s="26">
        <v>3.37</v>
      </c>
      <c r="X122" s="26">
        <v>4.3</v>
      </c>
      <c r="Y122" s="26">
        <v>5</v>
      </c>
      <c r="Z122" s="26">
        <v>7.6</v>
      </c>
      <c r="AA122" s="26">
        <v>8.6</v>
      </c>
      <c r="AB122" s="28">
        <v>75000</v>
      </c>
      <c r="AC122" s="26" t="s">
        <v>136</v>
      </c>
      <c r="AD122" s="29" t="s">
        <v>137</v>
      </c>
      <c r="AE122" s="26" t="s">
        <v>135</v>
      </c>
    </row>
  </sheetData>
  <mergeCells count="1">
    <mergeCell ref="A1:A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J17"/>
  <sheetViews>
    <sheetView zoomScaleNormal="100" workbookViewId="0"/>
  </sheetViews>
  <sheetFormatPr defaultColWidth="8.7421875" defaultRowHeight="15" x14ac:dyDescent="0.2"/>
  <cols>
    <col min="1" max="1" width="16.0078125" style="1" customWidth="1"/>
    <col min="2" max="2" width="11.97265625" style="1" customWidth="1"/>
    <col min="3" max="3" width="18.0234375" style="1" customWidth="1"/>
    <col min="4" max="4" width="16.94921875" style="1" customWidth="1"/>
    <col min="5" max="5" width="16.0078125" style="1" customWidth="1"/>
    <col min="6" max="6" width="13.98828125" style="1" customWidth="1"/>
    <col min="7" max="8" width="14.9296875" style="1" customWidth="1"/>
    <col min="9" max="9" width="16.94921875" style="1" customWidth="1"/>
    <col min="10" max="10" width="11.97265625" style="1" customWidth="1"/>
  </cols>
  <sheetData>
    <row r="1" spans="1:10" ht="39.75" customHeight="1" x14ac:dyDescent="0.2">
      <c r="A1" s="82" t="s">
        <v>240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21.75" customHeight="1" x14ac:dyDescent="0.2">
      <c r="A2" s="42" t="s">
        <v>241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12" customHeight="1" x14ac:dyDescent="0.2"/>
    <row r="4" spans="1:10" ht="27.75" customHeight="1" x14ac:dyDescent="0.2">
      <c r="A4" s="83" t="s">
        <v>242</v>
      </c>
      <c r="B4" s="83"/>
      <c r="C4" s="84" t="s">
        <v>243</v>
      </c>
      <c r="D4" s="84"/>
      <c r="E4" s="85" t="s">
        <v>244</v>
      </c>
      <c r="F4" s="85"/>
      <c r="G4" s="86" t="s">
        <v>245</v>
      </c>
      <c r="H4" s="86"/>
      <c r="I4" s="87" t="s">
        <v>246</v>
      </c>
      <c r="J4" s="87"/>
    </row>
    <row r="5" spans="1:10" ht="51.75" customHeight="1" x14ac:dyDescent="0.2">
      <c r="A5" s="88">
        <f ca="1">COUNTA(_xludf.unique('Raw Data'!A3:A122))</f>
        <v>1</v>
      </c>
      <c r="B5" s="88"/>
      <c r="C5" s="89">
        <f>ROUND(AVERAGE('Raw Data'!Z3:Z122),1)</f>
        <v>7.8</v>
      </c>
      <c r="D5" s="89"/>
      <c r="E5" s="90">
        <f>ROUND(AVERAGE('Raw Data'!Q3:Q122),3)</f>
        <v>0.86099999999999999</v>
      </c>
      <c r="F5" s="90"/>
      <c r="G5" s="91">
        <f>SUM('Raw Data'!U3:U122)</f>
        <v>2718</v>
      </c>
      <c r="H5" s="91"/>
      <c r="I5" s="92">
        <f>COUNTIF('Raw Data'!AC3:AC122,"Yes")</f>
        <v>47</v>
      </c>
      <c r="J5" s="92"/>
    </row>
    <row r="6" spans="1:10" ht="12" customHeight="1" x14ac:dyDescent="0.2"/>
    <row r="7" spans="1:10" ht="27.75" customHeight="1" x14ac:dyDescent="0.2">
      <c r="A7" s="93" t="s">
        <v>247</v>
      </c>
      <c r="B7" s="93"/>
      <c r="C7" s="94" t="s">
        <v>248</v>
      </c>
      <c r="D7" s="94"/>
      <c r="E7" s="94" t="s">
        <v>249</v>
      </c>
      <c r="F7" s="94"/>
      <c r="G7" s="95" t="s">
        <v>250</v>
      </c>
      <c r="H7" s="95"/>
      <c r="I7" s="86" t="s">
        <v>251</v>
      </c>
      <c r="J7" s="86"/>
    </row>
    <row r="8" spans="1:10" ht="51.75" customHeight="1" x14ac:dyDescent="0.2">
      <c r="A8" s="97">
        <f>COUNTIF('Raw Data'!Z3:Z122,"&gt;="&amp;8.5)</f>
        <v>15</v>
      </c>
      <c r="B8" s="97"/>
      <c r="C8" s="98">
        <f>COUNTIF('Raw Data'!Z3:Z122,"&lt;"&amp;6)</f>
        <v>0</v>
      </c>
      <c r="D8" s="98"/>
      <c r="E8" s="98">
        <f>COUNTIF('Raw Data'!AD3:AD122,"High Risk")</f>
        <v>4</v>
      </c>
      <c r="F8" s="98"/>
      <c r="G8" s="99">
        <f>SUM('Raw Data'!S3:S122)</f>
        <v>1293</v>
      </c>
      <c r="H8" s="99"/>
      <c r="I8" s="91">
        <f>SUM('Raw Data'!T3:T122)</f>
        <v>3051</v>
      </c>
      <c r="J8" s="91"/>
    </row>
    <row r="9" spans="1:10" ht="15.75" customHeight="1" x14ac:dyDescent="0.2"/>
    <row r="10" spans="1:10" ht="27.75" customHeight="1" x14ac:dyDescent="0.2">
      <c r="A10" s="96" t="s">
        <v>252</v>
      </c>
      <c r="B10" s="96"/>
      <c r="C10" s="96"/>
      <c r="D10" s="96"/>
      <c r="E10" s="96"/>
      <c r="F10" s="96"/>
      <c r="G10" s="96"/>
      <c r="H10" s="96"/>
      <c r="I10" s="96"/>
      <c r="J10" s="96"/>
    </row>
    <row r="11" spans="1:10" ht="25.5" customHeight="1" x14ac:dyDescent="0.2">
      <c r="A11" s="31" t="s">
        <v>17</v>
      </c>
      <c r="B11" s="31" t="s">
        <v>253</v>
      </c>
      <c r="C11" s="31" t="s">
        <v>254</v>
      </c>
      <c r="D11" s="31" t="s">
        <v>255</v>
      </c>
      <c r="E11" s="31" t="s">
        <v>256</v>
      </c>
      <c r="F11" s="31" t="s">
        <v>257</v>
      </c>
      <c r="G11" s="31" t="s">
        <v>113</v>
      </c>
      <c r="H11" s="31" t="s">
        <v>258</v>
      </c>
      <c r="I11" s="31" t="s">
        <v>259</v>
      </c>
      <c r="J11" s="31" t="s">
        <v>22</v>
      </c>
    </row>
    <row r="12" spans="1:10" ht="21.75" customHeight="1" x14ac:dyDescent="0.2">
      <c r="A12" s="5" t="s">
        <v>125</v>
      </c>
      <c r="B12" s="8">
        <f>COUNTIFS('Raw Data'!C3:C122,"Technology",'Raw Data'!K3:K122,"Jan")</f>
        <v>6</v>
      </c>
      <c r="C12" s="7">
        <f>IFERROR(AVERAGEIF('Raw Data'!C3:C122,"Technology",'Raw Data'!Q3:Q122),0)</f>
        <v>0.8550416666666667</v>
      </c>
      <c r="D12" s="6">
        <f>IFERROR(AVERAGEIF('Raw Data'!C3:C122,"Technology",'Raw Data'!Z3:Z122),0)</f>
        <v>7.8111111111111127</v>
      </c>
      <c r="E12" s="8">
        <f>SUMIF('Raw Data'!C3:C122,"Technology",'Raw Data'!U3:U122)</f>
        <v>787</v>
      </c>
      <c r="F12" s="8">
        <f>SUMIF('Raw Data'!C3:C122,"Technology",'Raw Data'!T3:T122)</f>
        <v>866</v>
      </c>
      <c r="G12" s="7">
        <f>IFERROR(E12/F12,0)</f>
        <v>0.90877598152424943</v>
      </c>
      <c r="H12" s="6">
        <f>IFERROR(AVERAGEIF('Raw Data'!C3:C122,"Technology",'Raw Data'!S3:S122),0)</f>
        <v>12.083333333333336</v>
      </c>
      <c r="I12" s="8">
        <f>COUNTIFS('Raw Data'!C3:C122,"Technology",'Raw Data'!Z3:Z122,"&gt;="&amp;8.5)</f>
        <v>4</v>
      </c>
      <c r="J12" s="8">
        <f>COUNTIFS('Raw Data'!C3:C122,"Technology",'Raw Data'!AD3:AD122,"High Risk")</f>
        <v>0</v>
      </c>
    </row>
    <row r="13" spans="1:10" ht="21.75" customHeight="1" x14ac:dyDescent="0.2">
      <c r="A13" s="10" t="s">
        <v>148</v>
      </c>
      <c r="B13" s="13">
        <f>COUNTIFS('Raw Data'!C3:C122,"HR",'Raw Data'!K3:K122,"Jan")</f>
        <v>3</v>
      </c>
      <c r="C13" s="12">
        <f>IFERROR(AVERAGEIF('Raw Data'!C3:C122,"HR",'Raw Data'!Q3:Q122),0)</f>
        <v>0.871</v>
      </c>
      <c r="D13" s="11">
        <f>IFERROR(AVERAGEIF('Raw Data'!C3:C122,"HR",'Raw Data'!Z3:Z122),0)</f>
        <v>7.333333333333333</v>
      </c>
      <c r="E13" s="13">
        <f>SUMIF('Raw Data'!C3:C122,"HR",'Raw Data'!U3:U122)</f>
        <v>436</v>
      </c>
      <c r="F13" s="13">
        <f>SUMIF('Raw Data'!C3:C122,"HR",'Raw Data'!T3:T122)</f>
        <v>516</v>
      </c>
      <c r="G13" s="12">
        <f>IFERROR(E13/F13,0)</f>
        <v>0.84496124031007747</v>
      </c>
      <c r="H13" s="11">
        <f>IFERROR(AVERAGEIF('Raw Data'!C3:C122,"HR",'Raw Data'!S3:S122),0)</f>
        <v>9.35</v>
      </c>
      <c r="I13" s="13">
        <f>COUNTIFS('Raw Data'!C3:C122,"HR",'Raw Data'!Z3:Z122,"&gt;="&amp;8.5)</f>
        <v>1</v>
      </c>
      <c r="J13" s="13">
        <f>COUNTIFS('Raw Data'!C3:C122,"HR",'Raw Data'!AD3:AD122,"High Risk")</f>
        <v>3</v>
      </c>
    </row>
    <row r="14" spans="1:10" ht="21.75" customHeight="1" x14ac:dyDescent="0.2">
      <c r="A14" s="5" t="s">
        <v>157</v>
      </c>
      <c r="B14" s="8">
        <f>COUNTIFS('Raw Data'!C3:C122,"Finance",'Raw Data'!K3:K122,"Jan")</f>
        <v>3</v>
      </c>
      <c r="C14" s="7">
        <f>IFERROR(AVERAGEIF('Raw Data'!C3:C122,"Finance",'Raw Data'!Q3:Q122),0)</f>
        <v>0.86638888888888888</v>
      </c>
      <c r="D14" s="6">
        <f>IFERROR(AVERAGEIF('Raw Data'!C3:C122,"Finance",'Raw Data'!Z3:Z122),0)</f>
        <v>7.8222222222222229</v>
      </c>
      <c r="E14" s="8">
        <f>SUMIF('Raw Data'!C3:C122,"Finance",'Raw Data'!U3:U122)</f>
        <v>411</v>
      </c>
      <c r="F14" s="8">
        <f>SUMIF('Raw Data'!C3:C122,"Finance",'Raw Data'!T3:T122)</f>
        <v>476</v>
      </c>
      <c r="G14" s="7">
        <f>IFERROR(E14/F14,0)</f>
        <v>0.86344537815126055</v>
      </c>
      <c r="H14" s="6">
        <f>IFERROR(AVERAGEIF('Raw Data'!C3:C122,"Finance",'Raw Data'!S3:S122),0)</f>
        <v>10.427777777777777</v>
      </c>
      <c r="I14" s="8">
        <f>COUNTIFS('Raw Data'!C3:C122,"Finance",'Raw Data'!Z3:Z122,"&gt;="&amp;8.5)</f>
        <v>2</v>
      </c>
      <c r="J14" s="8">
        <f>COUNTIFS('Raw Data'!C3:C122,"Finance",'Raw Data'!AD3:AD122,"High Risk")</f>
        <v>0</v>
      </c>
    </row>
    <row r="15" spans="1:10" ht="21.75" customHeight="1" x14ac:dyDescent="0.2">
      <c r="A15" s="10" t="s">
        <v>163</v>
      </c>
      <c r="B15" s="13">
        <f>COUNTIFS('Raw Data'!C3:C122,"Sales",'Raw Data'!K3:K122,"Jan")</f>
        <v>3</v>
      </c>
      <c r="C15" s="12">
        <f>IFERROR(AVERAGEIF('Raw Data'!C3:C122,"Sales",'Raw Data'!Q3:Q122),0)</f>
        <v>0.86257777777777789</v>
      </c>
      <c r="D15" s="11">
        <f>IFERROR(AVERAGEIF('Raw Data'!C3:C122,"Sales",'Raw Data'!Z3:Z122),0)</f>
        <v>7.7555555555555538</v>
      </c>
      <c r="E15" s="13">
        <f>SUMIF('Raw Data'!C3:C122,"Sales",'Raw Data'!U3:U122)</f>
        <v>414</v>
      </c>
      <c r="F15" s="13">
        <f>SUMIF('Raw Data'!C3:C122,"Sales",'Raw Data'!T3:T122)</f>
        <v>452</v>
      </c>
      <c r="G15" s="12">
        <f>IFERROR(E15/F15,0)</f>
        <v>0.91592920353982299</v>
      </c>
      <c r="H15" s="11">
        <f>IFERROR(AVERAGEIF('Raw Data'!C3:C122,"Sales",'Raw Data'!S3:S122),0)</f>
        <v>10.794444444444444</v>
      </c>
      <c r="I15" s="13">
        <f>COUNTIFS('Raw Data'!C3:C122,"Sales",'Raw Data'!Z3:Z122,"&gt;="&amp;8.5)</f>
        <v>1</v>
      </c>
      <c r="J15" s="13">
        <f>COUNTIFS('Raw Data'!C3:C122,"Sales",'Raw Data'!AD3:AD122,"High Risk")</f>
        <v>0</v>
      </c>
    </row>
    <row r="16" spans="1:10" ht="21.75" customHeight="1" x14ac:dyDescent="0.2">
      <c r="A16" s="5" t="s">
        <v>171</v>
      </c>
      <c r="B16" s="8">
        <f>COUNTIFS('Raw Data'!C3:C122,"Operations",'Raw Data'!K3:K122,"Jan")</f>
        <v>3</v>
      </c>
      <c r="C16" s="7">
        <f>IFERROR(AVERAGEIF('Raw Data'!C3:C122,"Operations",'Raw Data'!Q3:Q122),0)</f>
        <v>0.85255555555555551</v>
      </c>
      <c r="D16" s="6">
        <f>IFERROR(AVERAGEIF('Raw Data'!C3:C122,"Operations",'Raw Data'!Z3:Z122),0)</f>
        <v>8.0944444444444432</v>
      </c>
      <c r="E16" s="8">
        <f>SUMIF('Raw Data'!C3:C122,"Operations",'Raw Data'!U3:U122)</f>
        <v>406</v>
      </c>
      <c r="F16" s="8">
        <f>SUMIF('Raw Data'!C3:C122,"Operations",'Raw Data'!T3:T122)</f>
        <v>442</v>
      </c>
      <c r="G16" s="7">
        <f>IFERROR(E16/F16,0)</f>
        <v>0.91855203619909498</v>
      </c>
      <c r="H16" s="6">
        <f>IFERROR(AVERAGEIF('Raw Data'!C3:C122,"Operations",'Raw Data'!S3:S122),0)</f>
        <v>10.261111111111111</v>
      </c>
      <c r="I16" s="8">
        <f>COUNTIFS('Raw Data'!C3:C122,"Operations",'Raw Data'!Z3:Z122,"&gt;="&amp;8.5)</f>
        <v>5</v>
      </c>
      <c r="J16" s="8">
        <f>COUNTIFS('Raw Data'!C3:C122,"Operations",'Raw Data'!AD3:AD122,"High Risk")</f>
        <v>0</v>
      </c>
    </row>
    <row r="17" spans="1:10" ht="21.75" customHeight="1" x14ac:dyDescent="0.2">
      <c r="A17" s="10" t="s">
        <v>182</v>
      </c>
      <c r="B17" s="13">
        <f>COUNTIFS('Raw Data'!C3:C122,"Marketing",'Raw Data'!K3:K122,"Jan")</f>
        <v>2</v>
      </c>
      <c r="C17" s="12">
        <f>IFERROR(AVERAGEIF('Raw Data'!C3:C122,"Marketing",'Raw Data'!Q3:Q122),0)</f>
        <v>0.8647166666666668</v>
      </c>
      <c r="D17" s="11">
        <f>IFERROR(AVERAGEIF('Raw Data'!C3:C122,"Marketing",'Raw Data'!Z3:Z122),0)</f>
        <v>7.7666666666666657</v>
      </c>
      <c r="E17" s="13">
        <f>SUMIF('Raw Data'!C3:C122,"Marketing",'Raw Data'!U3:U122)</f>
        <v>264</v>
      </c>
      <c r="F17" s="13">
        <f>SUMIF('Raw Data'!C3:C122,"Marketing",'Raw Data'!T3:T122)</f>
        <v>299</v>
      </c>
      <c r="G17" s="12">
        <f>IFERROR(E17/F17,0)</f>
        <v>0.882943143812709</v>
      </c>
      <c r="H17" s="11">
        <f>IFERROR(AVERAGEIF('Raw Data'!C3:C122,"Marketing",'Raw Data'!S3:S122),0)</f>
        <v>10.249999999999998</v>
      </c>
      <c r="I17" s="13">
        <f>COUNTIFS('Raw Data'!C3:C122,"Marketing",'Raw Data'!Z3:Z122,"&gt;="&amp;8.5)</f>
        <v>2</v>
      </c>
      <c r="J17" s="13">
        <f>COUNTIFS('Raw Data'!C3:C122,"Marketing",'Raw Data'!AD3:AD122,"High Risk")</f>
        <v>1</v>
      </c>
    </row>
  </sheetData>
  <mergeCells count="23">
    <mergeCell ref="A10:J10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M33"/>
  <sheetViews>
    <sheetView zoomScaleNormal="100" workbookViewId="0">
      <pane ySplit="13" topLeftCell="A14" activePane="bottomLeft" state="frozen"/>
      <selection pane="bottomLeft"/>
    </sheetView>
  </sheetViews>
  <sheetFormatPr defaultColWidth="8.7421875" defaultRowHeight="15" x14ac:dyDescent="0.2"/>
  <cols>
    <col min="1" max="1" width="9.953125" style="1" customWidth="1"/>
    <col min="2" max="2" width="18.0234375" style="1" customWidth="1"/>
    <col min="3" max="3" width="13.046875" style="1" customWidth="1"/>
    <col min="4" max="4" width="18.0234375" style="1" customWidth="1"/>
    <col min="5" max="5" width="16.0078125" style="1" customWidth="1"/>
    <col min="6" max="6" width="16.94921875" style="1" customWidth="1"/>
    <col min="7" max="8" width="13.046875" style="1" customWidth="1"/>
    <col min="9" max="9" width="16.94921875" style="1" customWidth="1"/>
    <col min="10" max="10" width="11.97265625" style="1" customWidth="1"/>
    <col min="11" max="11" width="13.98828125" style="1" customWidth="1"/>
  </cols>
  <sheetData>
    <row r="1" spans="1:13" ht="33.75" customHeight="1" x14ac:dyDescent="0.2">
      <c r="A1" s="100" t="s">
        <v>260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3" spans="1:13" ht="25.5" customHeight="1" x14ac:dyDescent="0.2">
      <c r="A3" s="58" t="s">
        <v>261</v>
      </c>
      <c r="B3" s="58"/>
      <c r="C3" s="58"/>
      <c r="D3" s="58"/>
      <c r="E3" s="58"/>
      <c r="F3" s="58"/>
      <c r="G3" s="58"/>
    </row>
    <row r="4" spans="1:13" ht="25.5" customHeight="1" x14ac:dyDescent="0.2">
      <c r="A4" s="32" t="s">
        <v>23</v>
      </c>
      <c r="B4" s="32" t="s">
        <v>103</v>
      </c>
      <c r="C4" s="32" t="s">
        <v>254</v>
      </c>
      <c r="D4" s="32" t="s">
        <v>262</v>
      </c>
      <c r="E4" s="32" t="s">
        <v>256</v>
      </c>
      <c r="F4" s="32" t="s">
        <v>257</v>
      </c>
      <c r="G4" s="32" t="s">
        <v>263</v>
      </c>
    </row>
    <row r="5" spans="1:13" ht="21.75" customHeight="1" x14ac:dyDescent="0.2">
      <c r="A5" s="10" t="s">
        <v>32</v>
      </c>
      <c r="B5" s="13">
        <v>23</v>
      </c>
      <c r="C5" s="12">
        <f>IFERROR(AVERAGEIF('Raw Data'!K3:K122,"Jan",'Raw Data'!Q3:Q122),0)</f>
        <v>0.89565000000000006</v>
      </c>
      <c r="D5" s="11">
        <f>IFERROR(AVERAGEIF('Raw Data'!K3:K122,"Jan",'Raw Data'!Z3:Z122),0)</f>
        <v>7.9049999999999994</v>
      </c>
      <c r="E5" s="13">
        <f>SUMIF('Raw Data'!K3:K122,"Jan",'Raw Data'!U3:U122)</f>
        <v>417</v>
      </c>
      <c r="F5" s="13">
        <f>SUMIF('Raw Data'!K3:K122,"Jan",'Raw Data'!T3:T122)</f>
        <v>470</v>
      </c>
      <c r="G5" s="12">
        <f>IFERROR(E5/F5,0)</f>
        <v>0.88723404255319149</v>
      </c>
    </row>
    <row r="6" spans="1:13" ht="21.75" customHeight="1" x14ac:dyDescent="0.2">
      <c r="A6" s="5" t="s">
        <v>36</v>
      </c>
      <c r="B6" s="8">
        <v>20</v>
      </c>
      <c r="C6" s="7">
        <f>IFERROR(AVERAGEIF('Raw Data'!K3:K122,"Feb",'Raw Data'!Q3:Q122),0)</f>
        <v>0.84250000000000003</v>
      </c>
      <c r="D6" s="6">
        <f>IFERROR(AVERAGEIF('Raw Data'!K3:K122,"Feb",'Raw Data'!Z3:Z122),0)</f>
        <v>7.67</v>
      </c>
      <c r="E6" s="8">
        <f>SUMIF('Raw Data'!K3:K122,"Feb",'Raw Data'!U3:U122)</f>
        <v>437</v>
      </c>
      <c r="F6" s="8">
        <f>SUMIF('Raw Data'!K3:K122,"Feb",'Raw Data'!T3:T122)</f>
        <v>498</v>
      </c>
      <c r="G6" s="7">
        <f>IFERROR(E6/F6,0)</f>
        <v>0.8775100401606426</v>
      </c>
    </row>
    <row r="7" spans="1:13" ht="21.75" customHeight="1" x14ac:dyDescent="0.2">
      <c r="A7" s="10" t="s">
        <v>40</v>
      </c>
      <c r="B7" s="13">
        <v>21</v>
      </c>
      <c r="C7" s="12">
        <f>IFERROR(AVERAGEIF('Raw Data'!K3:K122,"Mar",'Raw Data'!Q3:Q122),0)</f>
        <v>0.83570500000000014</v>
      </c>
      <c r="D7" s="11">
        <f>IFERROR(AVERAGEIF('Raw Data'!K3:K122,"Mar",'Raw Data'!Z3:Z122),0)</f>
        <v>7.6349999999999998</v>
      </c>
      <c r="E7" s="13">
        <f>SUMIF('Raw Data'!K3:K122,"Mar",'Raw Data'!U3:U122)</f>
        <v>495</v>
      </c>
      <c r="F7" s="13">
        <f>SUMIF('Raw Data'!K3:K122,"Mar",'Raw Data'!T3:T122)</f>
        <v>549</v>
      </c>
      <c r="G7" s="12">
        <f>IFERROR(E7/F7,0)</f>
        <v>0.90163934426229508</v>
      </c>
    </row>
    <row r="8" spans="1:13" ht="21.75" customHeight="1" x14ac:dyDescent="0.2">
      <c r="A8" s="5" t="s">
        <v>44</v>
      </c>
      <c r="B8" s="8">
        <v>22</v>
      </c>
      <c r="C8" s="7">
        <f>IFERROR(AVERAGEIF('Raw Data'!K3:K122,"Apr",'Raw Data'!Q3:Q122),0)</f>
        <v>0.87953500000000007</v>
      </c>
      <c r="D8" s="6">
        <f>IFERROR(AVERAGEIF('Raw Data'!K3:K122,"Apr",'Raw Data'!Z3:Z122),0)</f>
        <v>7.669999999999999</v>
      </c>
      <c r="E8" s="8">
        <f>SUMIF('Raw Data'!K3:K122,"Apr",'Raw Data'!U3:U122)</f>
        <v>454</v>
      </c>
      <c r="F8" s="8">
        <f>SUMIF('Raw Data'!K3:K122,"Apr",'Raw Data'!T3:T122)</f>
        <v>493</v>
      </c>
      <c r="G8" s="7">
        <f>IFERROR(E8/F8,0)</f>
        <v>0.92089249492900604</v>
      </c>
    </row>
    <row r="9" spans="1:13" ht="21.75" customHeight="1" x14ac:dyDescent="0.2">
      <c r="A9" s="10" t="s">
        <v>48</v>
      </c>
      <c r="B9" s="13">
        <v>21</v>
      </c>
      <c r="C9" s="12">
        <f>IFERROR(AVERAGEIF('Raw Data'!K3:K122,"May",'Raw Data'!Q3:Q122),0)</f>
        <v>0.86428500000000008</v>
      </c>
      <c r="D9" s="11">
        <f>IFERROR(AVERAGEIF('Raw Data'!K3:K122,"May",'Raw Data'!Z3:Z122),0)</f>
        <v>7.7999999999999989</v>
      </c>
      <c r="E9" s="13">
        <f>SUMIF('Raw Data'!K3:K122,"May",'Raw Data'!U3:U122)</f>
        <v>450</v>
      </c>
      <c r="F9" s="13">
        <f>SUMIF('Raw Data'!K3:K122,"May",'Raw Data'!T3:T122)</f>
        <v>507</v>
      </c>
      <c r="G9" s="12">
        <f>IFERROR(E9/F9,0)</f>
        <v>0.8875739644970414</v>
      </c>
    </row>
    <row r="10" spans="1:13" ht="21.75" customHeight="1" x14ac:dyDescent="0.2">
      <c r="A10" s="5" t="s">
        <v>50</v>
      </c>
      <c r="B10" s="8">
        <v>20</v>
      </c>
      <c r="C10" s="7">
        <f>IFERROR(AVERAGEIF('Raw Data'!K3:K122,"Jun",'Raw Data'!Q3:Q122),0)</f>
        <v>0.84750000000000014</v>
      </c>
      <c r="D10" s="6">
        <f>IFERROR(AVERAGEIF('Raw Data'!K3:K122,"Jun",'Raw Data'!Z3:Z122),0)</f>
        <v>7.9449999999999985</v>
      </c>
      <c r="E10" s="8">
        <f>SUMIF('Raw Data'!K3:K122,"Jun",'Raw Data'!U3:U122)</f>
        <v>465</v>
      </c>
      <c r="F10" s="8">
        <f>SUMIF('Raw Data'!K3:K122,"Jun",'Raw Data'!T3:T122)</f>
        <v>534</v>
      </c>
      <c r="G10" s="7">
        <f>IFERROR(E10/F10,0)</f>
        <v>0.8707865168539326</v>
      </c>
    </row>
    <row r="11" spans="1:13" ht="15.75" customHeight="1" x14ac:dyDescent="0.2"/>
    <row r="12" spans="1:13" ht="25.5" customHeight="1" x14ac:dyDescent="0.2">
      <c r="A12" s="59" t="s">
        <v>264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3" ht="25.5" customHeight="1" x14ac:dyDescent="0.2">
      <c r="A13" s="3" t="s">
        <v>94</v>
      </c>
      <c r="B13" s="3" t="s">
        <v>95</v>
      </c>
      <c r="C13" s="3" t="s">
        <v>17</v>
      </c>
      <c r="D13" s="3" t="s">
        <v>96</v>
      </c>
      <c r="E13" s="3" t="s">
        <v>254</v>
      </c>
      <c r="F13" s="3" t="s">
        <v>255</v>
      </c>
      <c r="G13" s="3" t="s">
        <v>265</v>
      </c>
      <c r="H13" s="3" t="s">
        <v>257</v>
      </c>
      <c r="I13" s="3" t="s">
        <v>263</v>
      </c>
      <c r="J13" s="3" t="s">
        <v>266</v>
      </c>
      <c r="K13" s="3" t="s">
        <v>267</v>
      </c>
    </row>
    <row r="14" spans="1:13" ht="19.5" customHeight="1" x14ac:dyDescent="0.2">
      <c r="A14" s="8" t="s">
        <v>123</v>
      </c>
      <c r="B14" s="33" t="s">
        <v>124</v>
      </c>
      <c r="C14" s="33" t="s">
        <v>125</v>
      </c>
      <c r="D14" s="33" t="s">
        <v>126</v>
      </c>
      <c r="E14" s="7">
        <f>IFERROR(AVERAGEIF('Raw Data'!A3:A122,"EMP001",'Raw Data'!Q3:Q122),0)</f>
        <v>0.82286666666666664</v>
      </c>
      <c r="F14" s="6">
        <f>IFERROR(AVERAGEIF('Raw Data'!A3:A122,"EMP001",'Raw Data'!Z3:Z122),0)</f>
        <v>7.7666666666666684</v>
      </c>
      <c r="G14" s="8">
        <f>SUMIF('Raw Data'!A3:A122,"EMP001",'Raw Data'!U3:U122)</f>
        <v>126</v>
      </c>
      <c r="H14" s="8">
        <f>SUMIF('Raw Data'!A3:A122,"EMP001",'Raw Data'!T3:T122)</f>
        <v>148</v>
      </c>
      <c r="I14" s="7">
        <f>IFERROR(G14/H14,0)</f>
        <v>0.85135135135135132</v>
      </c>
      <c r="J14" s="8">
        <f>COUNTIFS('Raw Data'!A3:A122,"EMP001",'Raw Data'!AC3:AC122,"Yes")</f>
        <v>2</v>
      </c>
      <c r="K14" s="8" t="str">
        <f>IF(E14&lt;0.85,IF(F14&lt;7,"High Risk","Att. Risk"),IF(F14&lt;6,"Perf. Risk","OK"))</f>
        <v>Att. Risk</v>
      </c>
    </row>
    <row r="15" spans="1:13" ht="19.5" customHeight="1" x14ac:dyDescent="0.2">
      <c r="A15" s="13" t="s">
        <v>138</v>
      </c>
      <c r="B15" s="34" t="s">
        <v>139</v>
      </c>
      <c r="C15" s="34" t="s">
        <v>125</v>
      </c>
      <c r="D15" s="34" t="s">
        <v>140</v>
      </c>
      <c r="E15" s="12">
        <f>IFERROR(AVERAGEIF('Raw Data'!A3:A122,"EMP002",'Raw Data'!Q3:Q122),0)</f>
        <v>0.89700000000000013</v>
      </c>
      <c r="F15" s="11">
        <f>IFERROR(AVERAGEIF('Raw Data'!A3:A122,"EMP002",'Raw Data'!Z3:Z122),0)</f>
        <v>7.8666666666666671</v>
      </c>
      <c r="G15" s="13">
        <f>SUMIF('Raw Data'!A3:A122,"EMP002",'Raw Data'!U3:U122)</f>
        <v>160</v>
      </c>
      <c r="H15" s="13">
        <f>SUMIF('Raw Data'!A3:A122,"EMP002",'Raw Data'!T3:T122)</f>
        <v>167</v>
      </c>
      <c r="I15" s="12">
        <f>IFERROR(G15/H15,0)</f>
        <v>0.95808383233532934</v>
      </c>
      <c r="J15" s="13">
        <f>COUNTIFS('Raw Data'!A3:A122,"EMP002",'Raw Data'!AC3:AC122,"Yes")</f>
        <v>5</v>
      </c>
      <c r="K15" s="13" t="str">
        <f>IF(E15&lt;0.85,IF(F15&lt;7,"High Risk","Att. Risk"),IF(F15&lt;6,"Perf. Risk","OK"))</f>
        <v>OK</v>
      </c>
    </row>
    <row r="16" spans="1:13" ht="19.5" customHeight="1" x14ac:dyDescent="0.2">
      <c r="A16" s="8" t="s">
        <v>146</v>
      </c>
      <c r="B16" s="33" t="s">
        <v>147</v>
      </c>
      <c r="C16" s="33" t="s">
        <v>148</v>
      </c>
      <c r="D16" s="33" t="s">
        <v>149</v>
      </c>
      <c r="E16" s="7">
        <f>IFERROR(AVERAGEIF('Raw Data'!A3:A122,"EMP003",'Raw Data'!Q3:Q122),0)</f>
        <v>0.84216666666666662</v>
      </c>
      <c r="F16" s="6">
        <f>IFERROR(AVERAGEIF('Raw Data'!A3:A122,"EMP003",'Raw Data'!Z3:Z122),0)</f>
        <v>7.5</v>
      </c>
      <c r="G16" s="8">
        <f>SUMIF('Raw Data'!A3:A122,"EMP003",'Raw Data'!U3:U122)</f>
        <v>152</v>
      </c>
      <c r="H16" s="8">
        <f>SUMIF('Raw Data'!A3:A122,"EMP003",'Raw Data'!T3:T122)</f>
        <v>182</v>
      </c>
      <c r="I16" s="7">
        <f>IFERROR(G16/H16,0)</f>
        <v>0.8351648351648352</v>
      </c>
      <c r="J16" s="8">
        <f>COUNTIFS('Raw Data'!A3:A122,"EMP003",'Raw Data'!AC3:AC122,"Yes")</f>
        <v>1</v>
      </c>
      <c r="K16" s="8" t="str">
        <f>IF(E16&lt;0.85,IF(F16&lt;7,"High Risk","Att. Risk"),IF(F16&lt;6,"Perf. Risk","OK"))</f>
        <v>Att. Risk</v>
      </c>
    </row>
    <row r="17" spans="1:11" ht="19.5" customHeight="1" x14ac:dyDescent="0.2">
      <c r="A17" s="13" t="s">
        <v>155</v>
      </c>
      <c r="B17" s="34" t="s">
        <v>156</v>
      </c>
      <c r="C17" s="34" t="s">
        <v>157</v>
      </c>
      <c r="D17" s="34" t="s">
        <v>158</v>
      </c>
      <c r="E17" s="12">
        <f>IFERROR(AVERAGEIF('Raw Data'!A3:A122,"EMP004",'Raw Data'!Q3:Q122),0)</f>
        <v>0.92076666666666673</v>
      </c>
      <c r="F17" s="11">
        <f>IFERROR(AVERAGEIF('Raw Data'!A3:A122,"EMP004",'Raw Data'!Z3:Z122),0)</f>
        <v>7.4666666666666677</v>
      </c>
      <c r="G17" s="13">
        <f>SUMIF('Raw Data'!A3:A122,"EMP004",'Raw Data'!U3:U122)</f>
        <v>136</v>
      </c>
      <c r="H17" s="13">
        <f>SUMIF('Raw Data'!A3:A122,"EMP004",'Raw Data'!T3:T122)</f>
        <v>154</v>
      </c>
      <c r="I17" s="12">
        <f>IFERROR(G17/H17,0)</f>
        <v>0.88311688311688308</v>
      </c>
      <c r="J17" s="13">
        <f>COUNTIFS('Raw Data'!A3:A122,"EMP004",'Raw Data'!AC3:AC122,"Yes")</f>
        <v>3</v>
      </c>
      <c r="K17" s="13" t="str">
        <f>IF(E17&lt;0.85,IF(F17&lt;7,"High Risk","Att. Risk"),IF(F17&lt;6,"Perf. Risk","OK"))</f>
        <v>OK</v>
      </c>
    </row>
    <row r="18" spans="1:11" ht="19.5" customHeight="1" x14ac:dyDescent="0.2">
      <c r="A18" s="8" t="s">
        <v>161</v>
      </c>
      <c r="B18" s="33" t="s">
        <v>162</v>
      </c>
      <c r="C18" s="33" t="s">
        <v>163</v>
      </c>
      <c r="D18" s="33" t="s">
        <v>164</v>
      </c>
      <c r="E18" s="7">
        <f>IFERROR(AVERAGEIF('Raw Data'!A3:A122,"EMP005",'Raw Data'!Q3:Q122),0)</f>
        <v>0.8666166666666667</v>
      </c>
      <c r="F18" s="6">
        <f>IFERROR(AVERAGEIF('Raw Data'!A3:A122,"EMP005",'Raw Data'!Z3:Z122),0)</f>
        <v>7.7666666666666657</v>
      </c>
      <c r="G18" s="8">
        <f>SUMIF('Raw Data'!A3:A122,"EMP005",'Raw Data'!U3:U122)</f>
        <v>107</v>
      </c>
      <c r="H18" s="8">
        <f>SUMIF('Raw Data'!A3:A122,"EMP005",'Raw Data'!T3:T122)</f>
        <v>127</v>
      </c>
      <c r="I18" s="7">
        <f>IFERROR(G18/H18,0)</f>
        <v>0.84251968503937003</v>
      </c>
      <c r="J18" s="8">
        <f>COUNTIFS('Raw Data'!A3:A122,"EMP005",'Raw Data'!AC3:AC122,"Yes")</f>
        <v>2</v>
      </c>
      <c r="K18" s="8" t="str">
        <f>IF(E18&lt;0.85,IF(F18&lt;7,"High Risk","Att. Risk"),IF(F18&lt;6,"Perf. Risk","OK"))</f>
        <v>OK</v>
      </c>
    </row>
    <row r="19" spans="1:11" ht="19.5" customHeight="1" x14ac:dyDescent="0.2">
      <c r="A19" s="13" t="s">
        <v>169</v>
      </c>
      <c r="B19" s="34" t="s">
        <v>170</v>
      </c>
      <c r="C19" s="34" t="s">
        <v>171</v>
      </c>
      <c r="D19" s="34" t="s">
        <v>172</v>
      </c>
      <c r="E19" s="12">
        <f>IFERROR(AVERAGEIF('Raw Data'!A3:A122,"EMP006",'Raw Data'!Q3:Q122),0)</f>
        <v>0.78141666666666676</v>
      </c>
      <c r="F19" s="11">
        <f>IFERROR(AVERAGEIF('Raw Data'!A3:A122,"EMP006",'Raw Data'!Z3:Z122),0)</f>
        <v>8.4166666666666661</v>
      </c>
      <c r="G19" s="13">
        <f>SUMIF('Raw Data'!A3:A122,"EMP006",'Raw Data'!U3:U122)</f>
        <v>118</v>
      </c>
      <c r="H19" s="13">
        <f>SUMIF('Raw Data'!A3:A122,"EMP006",'Raw Data'!T3:T122)</f>
        <v>139</v>
      </c>
      <c r="I19" s="12">
        <f>IFERROR(G19/H19,0)</f>
        <v>0.84892086330935257</v>
      </c>
      <c r="J19" s="13">
        <f>COUNTIFS('Raw Data'!A3:A122,"EMP006",'Raw Data'!AC3:AC122,"Yes")</f>
        <v>1</v>
      </c>
      <c r="K19" s="13" t="str">
        <f>IF(E19&lt;0.85,IF(F19&lt;7,"High Risk","Att. Risk"),IF(F19&lt;6,"Perf. Risk","OK"))</f>
        <v>Att. Risk</v>
      </c>
    </row>
    <row r="20" spans="1:11" ht="19.5" customHeight="1" x14ac:dyDescent="0.2">
      <c r="A20" s="8" t="s">
        <v>176</v>
      </c>
      <c r="B20" s="33" t="s">
        <v>177</v>
      </c>
      <c r="C20" s="33" t="s">
        <v>125</v>
      </c>
      <c r="D20" s="33" t="s">
        <v>178</v>
      </c>
      <c r="E20" s="7">
        <f>IFERROR(AVERAGEIF('Raw Data'!A3:A122,"EMP007",'Raw Data'!Q3:Q122),0)</f>
        <v>0.87570000000000003</v>
      </c>
      <c r="F20" s="6">
        <f>IFERROR(AVERAGEIF('Raw Data'!A3:A122,"EMP007",'Raw Data'!Z3:Z122),0)</f>
        <v>7.8500000000000005</v>
      </c>
      <c r="G20" s="8">
        <f>SUMIF('Raw Data'!A3:A122,"EMP007",'Raw Data'!U3:U122)</f>
        <v>147</v>
      </c>
      <c r="H20" s="8">
        <f>SUMIF('Raw Data'!A3:A122,"EMP007",'Raw Data'!T3:T122)</f>
        <v>155</v>
      </c>
      <c r="I20" s="7">
        <f>IFERROR(G20/H20,0)</f>
        <v>0.94838709677419353</v>
      </c>
      <c r="J20" s="8">
        <f>COUNTIFS('Raw Data'!A3:A122,"EMP007",'Raw Data'!AC3:AC122,"Yes")</f>
        <v>3</v>
      </c>
      <c r="K20" s="8" t="str">
        <f>IF(E20&lt;0.85,IF(F20&lt;7,"High Risk","Att. Risk"),IF(F20&lt;6,"Perf. Risk","OK"))</f>
        <v>OK</v>
      </c>
    </row>
    <row r="21" spans="1:11" ht="19.5" customHeight="1" x14ac:dyDescent="0.2">
      <c r="A21" s="13" t="s">
        <v>180</v>
      </c>
      <c r="B21" s="34" t="s">
        <v>181</v>
      </c>
      <c r="C21" s="34" t="s">
        <v>182</v>
      </c>
      <c r="D21" s="34" t="s">
        <v>183</v>
      </c>
      <c r="E21" s="12">
        <f>IFERROR(AVERAGEIF('Raw Data'!A3:A122,"EMP008",'Raw Data'!Q3:Q122),0)</f>
        <v>0.87063333333333348</v>
      </c>
      <c r="F21" s="11">
        <f>IFERROR(AVERAGEIF('Raw Data'!A3:A122,"EMP008",'Raw Data'!Z3:Z122),0)</f>
        <v>7.9666666666666659</v>
      </c>
      <c r="G21" s="13">
        <f>SUMIF('Raw Data'!A3:A122,"EMP008",'Raw Data'!U3:U122)</f>
        <v>127</v>
      </c>
      <c r="H21" s="13">
        <f>SUMIF('Raw Data'!A3:A122,"EMP008",'Raw Data'!T3:T122)</f>
        <v>145</v>
      </c>
      <c r="I21" s="12">
        <f>IFERROR(G21/H21,0)</f>
        <v>0.87586206896551722</v>
      </c>
      <c r="J21" s="13">
        <f>COUNTIFS('Raw Data'!A3:A122,"EMP008",'Raw Data'!AC3:AC122,"Yes")</f>
        <v>2</v>
      </c>
      <c r="K21" s="13" t="str">
        <f>IF(E21&lt;0.85,IF(F21&lt;7,"High Risk","Att. Risk"),IF(F21&lt;6,"Perf. Risk","OK"))</f>
        <v>OK</v>
      </c>
    </row>
    <row r="22" spans="1:11" ht="19.5" customHeight="1" x14ac:dyDescent="0.2">
      <c r="A22" s="8" t="s">
        <v>186</v>
      </c>
      <c r="B22" s="33" t="s">
        <v>187</v>
      </c>
      <c r="C22" s="33" t="s">
        <v>157</v>
      </c>
      <c r="D22" s="33" t="s">
        <v>188</v>
      </c>
      <c r="E22" s="7">
        <f>IFERROR(AVERAGEIF('Raw Data'!A3:A122,"EMP009",'Raw Data'!Q3:Q122),0)</f>
        <v>0.81615000000000004</v>
      </c>
      <c r="F22" s="6">
        <f>IFERROR(AVERAGEIF('Raw Data'!A3:A122,"EMP009",'Raw Data'!Z3:Z122),0)</f>
        <v>8.0833333333333339</v>
      </c>
      <c r="G22" s="8">
        <f>SUMIF('Raw Data'!A3:A122,"EMP009",'Raw Data'!U3:U122)</f>
        <v>141</v>
      </c>
      <c r="H22" s="8">
        <f>SUMIF('Raw Data'!A3:A122,"EMP009",'Raw Data'!T3:T122)</f>
        <v>163</v>
      </c>
      <c r="I22" s="7">
        <f>IFERROR(G22/H22,0)</f>
        <v>0.86503067484662577</v>
      </c>
      <c r="J22" s="8">
        <f>COUNTIFS('Raw Data'!A3:A122,"EMP009",'Raw Data'!AC3:AC122,"Yes")</f>
        <v>2</v>
      </c>
      <c r="K22" s="8" t="str">
        <f>IF(E22&lt;0.85,IF(F22&lt;7,"High Risk","Att. Risk"),IF(F22&lt;6,"Perf. Risk","OK"))</f>
        <v>Att. Risk</v>
      </c>
    </row>
    <row r="23" spans="1:11" ht="19.5" customHeight="1" x14ac:dyDescent="0.2">
      <c r="A23" s="13" t="s">
        <v>190</v>
      </c>
      <c r="B23" s="34" t="s">
        <v>191</v>
      </c>
      <c r="C23" s="34" t="s">
        <v>163</v>
      </c>
      <c r="D23" s="34" t="s">
        <v>192</v>
      </c>
      <c r="E23" s="12">
        <f>IFERROR(AVERAGEIF('Raw Data'!A3:A122,"EMP010",'Raw Data'!Q3:Q122),0)</f>
        <v>0.87885000000000002</v>
      </c>
      <c r="F23" s="11">
        <f>IFERROR(AVERAGEIF('Raw Data'!A3:A122,"EMP010",'Raw Data'!Z3:Z122),0)</f>
        <v>7.6833333333333327</v>
      </c>
      <c r="G23" s="13">
        <f>SUMIF('Raw Data'!A3:A122,"EMP010",'Raw Data'!U3:U122)</f>
        <v>171</v>
      </c>
      <c r="H23" s="13">
        <f>SUMIF('Raw Data'!A3:A122,"EMP010",'Raw Data'!T3:T122)</f>
        <v>175</v>
      </c>
      <c r="I23" s="12">
        <f>IFERROR(G23/H23,0)</f>
        <v>0.97714285714285709</v>
      </c>
      <c r="J23" s="13">
        <f>COUNTIFS('Raw Data'!A3:A122,"EMP010",'Raw Data'!AC3:AC122,"Yes")</f>
        <v>3</v>
      </c>
      <c r="K23" s="13" t="str">
        <f>IF(E23&lt;0.85,IF(F23&lt;7,"High Risk","Att. Risk"),IF(F23&lt;6,"Perf. Risk","OK"))</f>
        <v>OK</v>
      </c>
    </row>
    <row r="24" spans="1:11" ht="19.5" customHeight="1" x14ac:dyDescent="0.2">
      <c r="A24" s="8" t="s">
        <v>194</v>
      </c>
      <c r="B24" s="33" t="s">
        <v>195</v>
      </c>
      <c r="C24" s="33" t="s">
        <v>125</v>
      </c>
      <c r="D24" s="33" t="s">
        <v>196</v>
      </c>
      <c r="E24" s="7">
        <f>IFERROR(AVERAGEIF('Raw Data'!A3:A122,"EMP011",'Raw Data'!Q3:Q122),0)</f>
        <v>0.79384999999999994</v>
      </c>
      <c r="F24" s="6">
        <f>IFERROR(AVERAGEIF('Raw Data'!A3:A122,"EMP011",'Raw Data'!Z3:Z122),0)</f>
        <v>8.1666666666666661</v>
      </c>
      <c r="G24" s="8">
        <f>SUMIF('Raw Data'!A3:A122,"EMP011",'Raw Data'!U3:U122)</f>
        <v>117</v>
      </c>
      <c r="H24" s="8">
        <f>SUMIF('Raw Data'!A3:A122,"EMP011",'Raw Data'!T3:T122)</f>
        <v>126</v>
      </c>
      <c r="I24" s="7">
        <f>IFERROR(G24/H24,0)</f>
        <v>0.9285714285714286</v>
      </c>
      <c r="J24" s="8">
        <f>COUNTIFS('Raw Data'!A3:A122,"EMP011",'Raw Data'!AC3:AC122,"Yes")</f>
        <v>1</v>
      </c>
      <c r="K24" s="8" t="str">
        <f>IF(E24&lt;0.85,IF(F24&lt;7,"High Risk","Att. Risk"),IF(F24&lt;6,"Perf. Risk","OK"))</f>
        <v>Att. Risk</v>
      </c>
    </row>
    <row r="25" spans="1:11" ht="19.5" customHeight="1" x14ac:dyDescent="0.2">
      <c r="A25" s="13" t="s">
        <v>199</v>
      </c>
      <c r="B25" s="34" t="s">
        <v>200</v>
      </c>
      <c r="C25" s="34" t="s">
        <v>148</v>
      </c>
      <c r="D25" s="34" t="s">
        <v>201</v>
      </c>
      <c r="E25" s="12">
        <f>IFERROR(AVERAGEIF('Raw Data'!A3:A122,"EMP012",'Raw Data'!Q3:Q122),0)</f>
        <v>0.85076666666666656</v>
      </c>
      <c r="F25" s="11">
        <f>IFERROR(AVERAGEIF('Raw Data'!A3:A122,"EMP012",'Raw Data'!Z3:Z122),0)</f>
        <v>7.2</v>
      </c>
      <c r="G25" s="13">
        <f>SUMIF('Raw Data'!A3:A122,"EMP012",'Raw Data'!U3:U122)</f>
        <v>159</v>
      </c>
      <c r="H25" s="13">
        <f>SUMIF('Raw Data'!A3:A122,"EMP012",'Raw Data'!T3:T122)</f>
        <v>177</v>
      </c>
      <c r="I25" s="12">
        <f>IFERROR(G25/H25,0)</f>
        <v>0.89830508474576276</v>
      </c>
      <c r="J25" s="13">
        <f>COUNTIFS('Raw Data'!A3:A122,"EMP012",'Raw Data'!AC3:AC122,"Yes")</f>
        <v>2</v>
      </c>
      <c r="K25" s="13" t="str">
        <f>IF(E25&lt;0.85,IF(F25&lt;7,"High Risk","Att. Risk"),IF(F25&lt;6,"Perf. Risk","OK"))</f>
        <v>OK</v>
      </c>
    </row>
    <row r="26" spans="1:11" ht="19.5" customHeight="1" x14ac:dyDescent="0.2">
      <c r="A26" s="8" t="s">
        <v>205</v>
      </c>
      <c r="B26" s="33" t="s">
        <v>206</v>
      </c>
      <c r="C26" s="33" t="s">
        <v>171</v>
      </c>
      <c r="D26" s="33" t="s">
        <v>207</v>
      </c>
      <c r="E26" s="7">
        <f>IFERROR(AVERAGEIF('Raw Data'!A3:A122,"EMP013",'Raw Data'!Q3:Q122),0)</f>
        <v>0.88036666666666674</v>
      </c>
      <c r="F26" s="6">
        <f>IFERROR(AVERAGEIF('Raw Data'!A3:A122,"EMP013",'Raw Data'!Z3:Z122),0)</f>
        <v>8.2333333333333343</v>
      </c>
      <c r="G26" s="8">
        <f>SUMIF('Raw Data'!A3:A122,"EMP013",'Raw Data'!U3:U122)</f>
        <v>149</v>
      </c>
      <c r="H26" s="8">
        <f>SUMIF('Raw Data'!A3:A122,"EMP013",'Raw Data'!T3:T122)</f>
        <v>146</v>
      </c>
      <c r="I26" s="7">
        <f>IFERROR(G26/H26,0)</f>
        <v>1.0205479452054795</v>
      </c>
      <c r="J26" s="8">
        <f>COUNTIFS('Raw Data'!A3:A122,"EMP013",'Raw Data'!AC3:AC122,"Yes")</f>
        <v>4</v>
      </c>
      <c r="K26" s="8" t="str">
        <f>IF(E26&lt;0.85,IF(F26&lt;7,"High Risk","Att. Risk"),IF(F26&lt;6,"Perf. Risk","OK"))</f>
        <v>OK</v>
      </c>
    </row>
    <row r="27" spans="1:11" ht="19.5" customHeight="1" x14ac:dyDescent="0.2">
      <c r="A27" s="13" t="s">
        <v>209</v>
      </c>
      <c r="B27" s="34" t="s">
        <v>210</v>
      </c>
      <c r="C27" s="34" t="s">
        <v>182</v>
      </c>
      <c r="D27" s="34" t="s">
        <v>211</v>
      </c>
      <c r="E27" s="12">
        <f>IFERROR(AVERAGEIF('Raw Data'!A3:A122,"EMP014",'Raw Data'!Q3:Q122),0)</f>
        <v>0.85880000000000001</v>
      </c>
      <c r="F27" s="11">
        <f>IFERROR(AVERAGEIF('Raw Data'!A3:A122,"EMP014",'Raw Data'!Z3:Z122),0)</f>
        <v>7.5666666666666673</v>
      </c>
      <c r="G27" s="13">
        <f>SUMIF('Raw Data'!A3:A122,"EMP014",'Raw Data'!U3:U122)</f>
        <v>137</v>
      </c>
      <c r="H27" s="13">
        <f>SUMIF('Raw Data'!A3:A122,"EMP014",'Raw Data'!T3:T122)</f>
        <v>154</v>
      </c>
      <c r="I27" s="12">
        <f>IFERROR(G27/H27,0)</f>
        <v>0.88961038961038963</v>
      </c>
      <c r="J27" s="13">
        <f>COUNTIFS('Raw Data'!A3:A122,"EMP014",'Raw Data'!AC3:AC122,"Yes")</f>
        <v>3</v>
      </c>
      <c r="K27" s="13" t="str">
        <f>IF(E27&lt;0.85,IF(F27&lt;7,"High Risk","Att. Risk"),IF(F27&lt;6,"Perf. Risk","OK"))</f>
        <v>OK</v>
      </c>
    </row>
    <row r="28" spans="1:11" ht="19.5" customHeight="1" x14ac:dyDescent="0.2">
      <c r="A28" s="8" t="s">
        <v>213</v>
      </c>
      <c r="B28" s="33" t="s">
        <v>214</v>
      </c>
      <c r="C28" s="33" t="s">
        <v>125</v>
      </c>
      <c r="D28" s="33" t="s">
        <v>215</v>
      </c>
      <c r="E28" s="7">
        <f>IFERROR(AVERAGEIF('Raw Data'!A3:A122,"EMP015",'Raw Data'!Q3:Q122),0)</f>
        <v>0.91398333333333337</v>
      </c>
      <c r="F28" s="6">
        <f>IFERROR(AVERAGEIF('Raw Data'!A3:A122,"EMP015",'Raw Data'!Z3:Z122),0)</f>
        <v>7.7666666666666657</v>
      </c>
      <c r="G28" s="8">
        <f>SUMIF('Raw Data'!A3:A122,"EMP015",'Raw Data'!U3:U122)</f>
        <v>117</v>
      </c>
      <c r="H28" s="8">
        <f>SUMIF('Raw Data'!A3:A122,"EMP015",'Raw Data'!T3:T122)</f>
        <v>131</v>
      </c>
      <c r="I28" s="7">
        <f>IFERROR(G28/H28,0)</f>
        <v>0.89312977099236646</v>
      </c>
      <c r="J28" s="8">
        <f>COUNTIFS('Raw Data'!A3:A122,"EMP015",'Raw Data'!AC3:AC122,"Yes")</f>
        <v>3</v>
      </c>
      <c r="K28" s="8" t="str">
        <f>IF(E28&lt;0.85,IF(F28&lt;7,"High Risk","Att. Risk"),IF(F28&lt;6,"Perf. Risk","OK"))</f>
        <v>OK</v>
      </c>
    </row>
    <row r="29" spans="1:11" ht="19.5" customHeight="1" x14ac:dyDescent="0.2">
      <c r="A29" s="13" t="s">
        <v>218</v>
      </c>
      <c r="B29" s="34" t="s">
        <v>219</v>
      </c>
      <c r="C29" s="34" t="s">
        <v>157</v>
      </c>
      <c r="D29" s="34" t="s">
        <v>220</v>
      </c>
      <c r="E29" s="12">
        <f>IFERROR(AVERAGEIF('Raw Data'!A3:A122,"EMP016",'Raw Data'!Q3:Q122),0)</f>
        <v>0.86224999999999996</v>
      </c>
      <c r="F29" s="11">
        <f>IFERROR(AVERAGEIF('Raw Data'!A3:A122,"EMP016",'Raw Data'!Z3:Z122),0)</f>
        <v>7.916666666666667</v>
      </c>
      <c r="G29" s="13">
        <f>SUMIF('Raw Data'!A3:A122,"EMP016",'Raw Data'!U3:U122)</f>
        <v>134</v>
      </c>
      <c r="H29" s="13">
        <f>SUMIF('Raw Data'!A3:A122,"EMP016",'Raw Data'!T3:T122)</f>
        <v>159</v>
      </c>
      <c r="I29" s="12">
        <f>IFERROR(G29/H29,0)</f>
        <v>0.84276729559748431</v>
      </c>
      <c r="J29" s="13">
        <f>COUNTIFS('Raw Data'!A3:A122,"EMP016",'Raw Data'!AC3:AC122,"Yes")</f>
        <v>2</v>
      </c>
      <c r="K29" s="13" t="str">
        <f>IF(E29&lt;0.85,IF(F29&lt;7,"High Risk","Att. Risk"),IF(F29&lt;6,"Perf. Risk","OK"))</f>
        <v>OK</v>
      </c>
    </row>
    <row r="30" spans="1:11" ht="19.5" customHeight="1" x14ac:dyDescent="0.2">
      <c r="A30" s="8" t="s">
        <v>222</v>
      </c>
      <c r="B30" s="33" t="s">
        <v>223</v>
      </c>
      <c r="C30" s="33" t="s">
        <v>163</v>
      </c>
      <c r="D30" s="33" t="s">
        <v>224</v>
      </c>
      <c r="E30" s="7">
        <f>IFERROR(AVERAGEIF('Raw Data'!A3:A122,"EMP017",'Raw Data'!Q3:Q122),0)</f>
        <v>0.84226666666666672</v>
      </c>
      <c r="F30" s="6">
        <f>IFERROR(AVERAGEIF('Raw Data'!A3:A122,"EMP017",'Raw Data'!Z3:Z122),0)</f>
        <v>7.8166666666666673</v>
      </c>
      <c r="G30" s="8">
        <f>SUMIF('Raw Data'!A3:A122,"EMP017",'Raw Data'!U3:U122)</f>
        <v>136</v>
      </c>
      <c r="H30" s="8">
        <f>SUMIF('Raw Data'!A3:A122,"EMP017",'Raw Data'!T3:T122)</f>
        <v>150</v>
      </c>
      <c r="I30" s="7">
        <f>IFERROR(G30/H30,0)</f>
        <v>0.90666666666666662</v>
      </c>
      <c r="J30" s="8">
        <f>COUNTIFS('Raw Data'!A3:A122,"EMP017",'Raw Data'!AC3:AC122,"Yes")</f>
        <v>2</v>
      </c>
      <c r="K30" s="8" t="str">
        <f>IF(E30&lt;0.85,IF(F30&lt;7,"High Risk","Att. Risk"),IF(F30&lt;6,"Perf. Risk","OK"))</f>
        <v>Att. Risk</v>
      </c>
    </row>
    <row r="31" spans="1:11" ht="19.5" customHeight="1" x14ac:dyDescent="0.2">
      <c r="A31" s="13" t="s">
        <v>227</v>
      </c>
      <c r="B31" s="34" t="s">
        <v>228</v>
      </c>
      <c r="C31" s="34" t="s">
        <v>148</v>
      </c>
      <c r="D31" s="34" t="s">
        <v>229</v>
      </c>
      <c r="E31" s="12">
        <f>IFERROR(AVERAGEIF('Raw Data'!A3:A122,"EMP018",'Raw Data'!Q3:Q122),0)</f>
        <v>0.9200666666666667</v>
      </c>
      <c r="F31" s="11">
        <f>IFERROR(AVERAGEIF('Raw Data'!A3:A122,"EMP018",'Raw Data'!Z3:Z122),0)</f>
        <v>7.3</v>
      </c>
      <c r="G31" s="13">
        <f>SUMIF('Raw Data'!A3:A122,"EMP018",'Raw Data'!U3:U122)</f>
        <v>125</v>
      </c>
      <c r="H31" s="13">
        <f>SUMIF('Raw Data'!A3:A122,"EMP018",'Raw Data'!T3:T122)</f>
        <v>157</v>
      </c>
      <c r="I31" s="12">
        <f>IFERROR(G31/H31,0)</f>
        <v>0.79617834394904463</v>
      </c>
      <c r="J31" s="13">
        <f>COUNTIFS('Raw Data'!A3:A122,"EMP018",'Raw Data'!AC3:AC122,"Yes")</f>
        <v>1</v>
      </c>
      <c r="K31" s="13" t="str">
        <f>IF(E31&lt;0.85,IF(F31&lt;7,"High Risk","Att. Risk"),IF(F31&lt;6,"Perf. Risk","OK"))</f>
        <v>OK</v>
      </c>
    </row>
    <row r="32" spans="1:11" ht="19.5" customHeight="1" x14ac:dyDescent="0.2">
      <c r="A32" s="8" t="s">
        <v>231</v>
      </c>
      <c r="B32" s="33" t="s">
        <v>232</v>
      </c>
      <c r="C32" s="33" t="s">
        <v>125</v>
      </c>
      <c r="D32" s="33" t="s">
        <v>233</v>
      </c>
      <c r="E32" s="7">
        <f>IFERROR(AVERAGEIF('Raw Data'!A3:A122,"EMP019",'Raw Data'!Q3:Q122),0)</f>
        <v>0.82684999999999986</v>
      </c>
      <c r="F32" s="6">
        <f>IFERROR(AVERAGEIF('Raw Data'!A3:A122,"EMP019",'Raw Data'!Z3:Z122),0)</f>
        <v>7.4499999999999993</v>
      </c>
      <c r="G32" s="8">
        <f>SUMIF('Raw Data'!A3:A122,"EMP019",'Raw Data'!U3:U122)</f>
        <v>120</v>
      </c>
      <c r="H32" s="8">
        <f>SUMIF('Raw Data'!A3:A122,"EMP019",'Raw Data'!T3:T122)</f>
        <v>139</v>
      </c>
      <c r="I32" s="7">
        <f>IFERROR(G32/H32,0)</f>
        <v>0.86330935251798557</v>
      </c>
      <c r="J32" s="8">
        <f>COUNTIFS('Raw Data'!A3:A122,"EMP019",'Raw Data'!AC3:AC122,"Yes")</f>
        <v>2</v>
      </c>
      <c r="K32" s="8" t="str">
        <f>IF(E32&lt;0.85,IF(F32&lt;7,"High Risk","Att. Risk"),IF(F32&lt;6,"Perf. Risk","OK"))</f>
        <v>Att. Risk</v>
      </c>
    </row>
    <row r="33" spans="1:11" ht="19.5" customHeight="1" x14ac:dyDescent="0.2">
      <c r="A33" s="13" t="s">
        <v>235</v>
      </c>
      <c r="B33" s="34" t="s">
        <v>236</v>
      </c>
      <c r="C33" s="34" t="s">
        <v>171</v>
      </c>
      <c r="D33" s="34" t="s">
        <v>237</v>
      </c>
      <c r="E33" s="12">
        <f>IFERROR(AVERAGEIF('Raw Data'!A3:A122,"EMP020",'Raw Data'!Q3:Q122),0)</f>
        <v>0.89588333333333336</v>
      </c>
      <c r="F33" s="11">
        <f>IFERROR(AVERAGEIF('Raw Data'!A3:A122,"EMP020",'Raw Data'!Z3:Z122),0)</f>
        <v>7.6333333333333329</v>
      </c>
      <c r="G33" s="13">
        <f>SUMIF('Raw Data'!A3:A122,"EMP020",'Raw Data'!U3:U122)</f>
        <v>139</v>
      </c>
      <c r="H33" s="13">
        <f>SUMIF('Raw Data'!A3:A122,"EMP020",'Raw Data'!T3:T122)</f>
        <v>157</v>
      </c>
      <c r="I33" s="12">
        <f>IFERROR(G33/H33,0)</f>
        <v>0.88535031847133761</v>
      </c>
      <c r="J33" s="13">
        <f>COUNTIFS('Raw Data'!A3:A122,"EMP020",'Raw Data'!AC3:AC122,"Yes")</f>
        <v>3</v>
      </c>
      <c r="K33" s="13" t="str">
        <f>IF(E33&lt;0.85,IF(F33&lt;7,"High Risk","Att. Risk"),IF(F33&lt;6,"Perf. Risk","OK"))</f>
        <v>OK</v>
      </c>
    </row>
  </sheetData>
  <mergeCells count="3">
    <mergeCell ref="A1:M1"/>
    <mergeCell ref="A3:G3"/>
    <mergeCell ref="A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I19"/>
  <sheetViews>
    <sheetView zoomScaleNormal="100" workbookViewId="0"/>
  </sheetViews>
  <sheetFormatPr defaultColWidth="8.7421875" defaultRowHeight="15" x14ac:dyDescent="0.2"/>
  <cols>
    <col min="1" max="1" width="14.9296875" style="1" customWidth="1"/>
    <col min="2" max="3" width="13.98828125" style="1" customWidth="1"/>
    <col min="4" max="5" width="11.97265625" style="1" customWidth="1"/>
    <col min="6" max="8" width="13.98828125" style="1" customWidth="1"/>
    <col min="9" max="9" width="11.97265625" style="1" customWidth="1"/>
  </cols>
  <sheetData>
    <row r="1" spans="1:9" ht="33.75" customHeight="1" x14ac:dyDescent="0.2">
      <c r="A1" s="101" t="s">
        <v>268</v>
      </c>
      <c r="B1" s="101"/>
      <c r="C1" s="101"/>
      <c r="D1" s="101"/>
      <c r="E1" s="101"/>
      <c r="F1" s="101"/>
      <c r="G1" s="101"/>
      <c r="H1" s="101"/>
      <c r="I1" s="101"/>
    </row>
    <row r="3" spans="1:9" ht="25.5" customHeight="1" x14ac:dyDescent="0.2">
      <c r="A3" s="102" t="s">
        <v>269</v>
      </c>
      <c r="B3" s="102"/>
      <c r="C3" s="102"/>
      <c r="D3" s="102"/>
      <c r="E3" s="102"/>
      <c r="F3" s="102"/>
      <c r="G3" s="102"/>
      <c r="H3" s="102"/>
      <c r="I3" s="102"/>
    </row>
    <row r="4" spans="1:9" ht="25.5" customHeight="1" x14ac:dyDescent="0.2">
      <c r="A4" s="32" t="s">
        <v>17</v>
      </c>
      <c r="B4" s="32" t="s">
        <v>270</v>
      </c>
      <c r="C4" s="32" t="s">
        <v>271</v>
      </c>
      <c r="D4" s="32" t="s">
        <v>272</v>
      </c>
      <c r="E4" s="32" t="s">
        <v>273</v>
      </c>
      <c r="F4" s="32" t="s">
        <v>103</v>
      </c>
      <c r="G4" s="32" t="s">
        <v>108</v>
      </c>
      <c r="H4" s="32" t="s">
        <v>274</v>
      </c>
      <c r="I4" s="32" t="s">
        <v>275</v>
      </c>
    </row>
    <row r="5" spans="1:9" ht="21.75" customHeight="1" x14ac:dyDescent="0.2">
      <c r="A5" s="10" t="s">
        <v>125</v>
      </c>
      <c r="B5" s="13">
        <f>SUMIF('Raw Data'!C3:C122,"Technology",'Raw Data'!M3:M122)</f>
        <v>652</v>
      </c>
      <c r="C5" s="13">
        <f>SUMIF('Raw Data'!C3:C122,"Technology",'Raw Data'!N3:N122)</f>
        <v>39</v>
      </c>
      <c r="D5" s="13">
        <f>SUMIF('Raw Data'!C3:C122,"Technology",'Raw Data'!O3:O122)</f>
        <v>71</v>
      </c>
      <c r="E5" s="13">
        <f>SUMIF('Raw Data'!C3:C122,"Technology",'Raw Data'!P3:P122)</f>
        <v>119</v>
      </c>
      <c r="F5" s="13">
        <f>SUMIF('Raw Data'!C3:C122,"Technology",'Raw Data'!L3:L122)</f>
        <v>762</v>
      </c>
      <c r="G5" s="12">
        <f>IFERROR(B5/F5,0)</f>
        <v>0.85564304461942253</v>
      </c>
      <c r="H5" s="12">
        <f>IFERROR(C5/F5,0)</f>
        <v>5.1181102362204724E-2</v>
      </c>
      <c r="I5" s="13" t="str">
        <f>IF(G5&gt;=0.9,"✅ Good",IF(G5&gt;=0.8,"⚠️ Monitor","🔴 Alert"))</f>
        <v>⚠️ Monitor</v>
      </c>
    </row>
    <row r="6" spans="1:9" ht="21.75" customHeight="1" x14ac:dyDescent="0.2">
      <c r="A6" s="5" t="s">
        <v>148</v>
      </c>
      <c r="B6" s="8">
        <f>SUMIF('Raw Data'!C3:C122,"HR",'Raw Data'!M3:M122)</f>
        <v>332</v>
      </c>
      <c r="C6" s="8">
        <f>SUMIF('Raw Data'!C3:C122,"HR",'Raw Data'!N3:N122)</f>
        <v>23</v>
      </c>
      <c r="D6" s="8">
        <f>SUMIF('Raw Data'!C3:C122,"HR",'Raw Data'!O3:O122)</f>
        <v>26</v>
      </c>
      <c r="E6" s="8">
        <f>SUMIF('Raw Data'!C3:C122,"HR",'Raw Data'!P3:P122)</f>
        <v>44</v>
      </c>
      <c r="F6" s="8">
        <f>SUMIF('Raw Data'!C3:C122,"HR",'Raw Data'!L3:L122)</f>
        <v>381</v>
      </c>
      <c r="G6" s="7">
        <f>IFERROR(B6/F6,0)</f>
        <v>0.87139107611548561</v>
      </c>
      <c r="H6" s="7">
        <f>IFERROR(C6/F6,0)</f>
        <v>6.0367454068241469E-2</v>
      </c>
      <c r="I6" s="8" t="str">
        <f>IF(G6&gt;=0.9,"✅ Good",IF(G6&gt;=0.8,"⚠️ Monitor","🔴 Alert"))</f>
        <v>⚠️ Monitor</v>
      </c>
    </row>
    <row r="7" spans="1:9" ht="21.75" customHeight="1" x14ac:dyDescent="0.2">
      <c r="A7" s="10" t="s">
        <v>157</v>
      </c>
      <c r="B7" s="13">
        <f>SUMIF('Raw Data'!C3:C122,"Finance",'Raw Data'!M3:M122)</f>
        <v>331</v>
      </c>
      <c r="C7" s="13">
        <f>SUMIF('Raw Data'!C3:C122,"Finance",'Raw Data'!N3:N122)</f>
        <v>21</v>
      </c>
      <c r="D7" s="13">
        <f>SUMIF('Raw Data'!C3:C122,"Finance",'Raw Data'!O3:O122)</f>
        <v>29</v>
      </c>
      <c r="E7" s="13">
        <f>SUMIF('Raw Data'!C3:C122,"Finance",'Raw Data'!P3:P122)</f>
        <v>34</v>
      </c>
      <c r="F7" s="13">
        <f>SUMIF('Raw Data'!C3:C122,"Finance",'Raw Data'!L3:L122)</f>
        <v>381</v>
      </c>
      <c r="G7" s="12">
        <f>IFERROR(B7/F7,0)</f>
        <v>0.86876640419947504</v>
      </c>
      <c r="H7" s="12">
        <f>IFERROR(C7/F7,0)</f>
        <v>5.5118110236220472E-2</v>
      </c>
      <c r="I7" s="13" t="str">
        <f>IF(G7&gt;=0.9,"✅ Good",IF(G7&gt;=0.8,"⚠️ Monitor","🔴 Alert"))</f>
        <v>⚠️ Monitor</v>
      </c>
    </row>
    <row r="8" spans="1:9" ht="21.75" customHeight="1" x14ac:dyDescent="0.2">
      <c r="A8" s="5" t="s">
        <v>163</v>
      </c>
      <c r="B8" s="8">
        <f>SUMIF('Raw Data'!C3:C122,"Sales",'Raw Data'!M3:M122)</f>
        <v>329</v>
      </c>
      <c r="C8" s="8">
        <f>SUMIF('Raw Data'!C3:C122,"Sales",'Raw Data'!N3:N122)</f>
        <v>14</v>
      </c>
      <c r="D8" s="8">
        <f>SUMIF('Raw Data'!C3:C122,"Sales",'Raw Data'!O3:O122)</f>
        <v>38</v>
      </c>
      <c r="E8" s="8">
        <f>SUMIF('Raw Data'!C3:C122,"Sales",'Raw Data'!P3:P122)</f>
        <v>42</v>
      </c>
      <c r="F8" s="8">
        <f>SUMIF('Raw Data'!C3:C122,"Sales",'Raw Data'!L3:L122)</f>
        <v>381</v>
      </c>
      <c r="G8" s="7">
        <f>IFERROR(B8/F8,0)</f>
        <v>0.86351706036745401</v>
      </c>
      <c r="H8" s="7">
        <f>IFERROR(C8/F8,0)</f>
        <v>3.6745406824146981E-2</v>
      </c>
      <c r="I8" s="8" t="str">
        <f>IF(G8&gt;=0.9,"✅ Good",IF(G8&gt;=0.8,"⚠️ Monitor","🔴 Alert"))</f>
        <v>⚠️ Monitor</v>
      </c>
    </row>
    <row r="9" spans="1:9" ht="21.75" customHeight="1" x14ac:dyDescent="0.2">
      <c r="A9" s="10" t="s">
        <v>171</v>
      </c>
      <c r="B9" s="13">
        <f>SUMIF('Raw Data'!C3:C122,"Operations",'Raw Data'!M3:M122)</f>
        <v>325</v>
      </c>
      <c r="C9" s="13">
        <f>SUMIF('Raw Data'!C3:C122,"Operations",'Raw Data'!N3:N122)</f>
        <v>20</v>
      </c>
      <c r="D9" s="13">
        <f>SUMIF('Raw Data'!C3:C122,"Operations",'Raw Data'!O3:O122)</f>
        <v>36</v>
      </c>
      <c r="E9" s="13">
        <f>SUMIF('Raw Data'!C3:C122,"Operations",'Raw Data'!P3:P122)</f>
        <v>48</v>
      </c>
      <c r="F9" s="13">
        <f>SUMIF('Raw Data'!C3:C122,"Operations",'Raw Data'!L3:L122)</f>
        <v>381</v>
      </c>
      <c r="G9" s="12">
        <f>IFERROR(B9/F9,0)</f>
        <v>0.85301837270341208</v>
      </c>
      <c r="H9" s="12">
        <f>IFERROR(C9/F9,0)</f>
        <v>5.2493438320209973E-2</v>
      </c>
      <c r="I9" s="13" t="str">
        <f>IF(G9&gt;=0.9,"✅ Good",IF(G9&gt;=0.8,"⚠️ Monitor","🔴 Alert"))</f>
        <v>⚠️ Monitor</v>
      </c>
    </row>
    <row r="10" spans="1:9" ht="21.75" customHeight="1" x14ac:dyDescent="0.2">
      <c r="A10" s="5" t="s">
        <v>182</v>
      </c>
      <c r="B10" s="8">
        <f>SUMIF('Raw Data'!C3:C122,"Marketing",'Raw Data'!M3:M122)</f>
        <v>220</v>
      </c>
      <c r="C10" s="8">
        <f>SUMIF('Raw Data'!C3:C122,"Marketing",'Raw Data'!N3:N122)</f>
        <v>16</v>
      </c>
      <c r="D10" s="8">
        <f>SUMIF('Raw Data'!C3:C122,"Marketing",'Raw Data'!O3:O122)</f>
        <v>18</v>
      </c>
      <c r="E10" s="8">
        <f>SUMIF('Raw Data'!C3:C122,"Marketing",'Raw Data'!P3:P122)</f>
        <v>20</v>
      </c>
      <c r="F10" s="8">
        <f>SUMIF('Raw Data'!C3:C122,"Marketing",'Raw Data'!L3:L122)</f>
        <v>254</v>
      </c>
      <c r="G10" s="7">
        <f>IFERROR(B10/F10,0)</f>
        <v>0.86614173228346458</v>
      </c>
      <c r="H10" s="7">
        <f>IFERROR(C10/F10,0)</f>
        <v>6.2992125984251968E-2</v>
      </c>
      <c r="I10" s="8" t="str">
        <f>IF(G10&gt;=0.9,"✅ Good",IF(G10&gt;=0.8,"⚠️ Monitor","🔴 Alert"))</f>
        <v>⚠️ Monitor</v>
      </c>
    </row>
    <row r="11" spans="1:9" ht="15.75" customHeight="1" x14ac:dyDescent="0.2"/>
    <row r="12" spans="1:9" ht="25.5" customHeight="1" x14ac:dyDescent="0.2">
      <c r="A12" s="103" t="s">
        <v>276</v>
      </c>
      <c r="B12" s="103"/>
      <c r="C12" s="103"/>
      <c r="D12" s="103"/>
      <c r="E12" s="103"/>
      <c r="F12" s="103"/>
      <c r="G12" s="103"/>
    </row>
    <row r="13" spans="1:9" ht="25.5" customHeight="1" x14ac:dyDescent="0.2">
      <c r="A13" s="35" t="s">
        <v>23</v>
      </c>
      <c r="B13" s="35" t="s">
        <v>270</v>
      </c>
      <c r="C13" s="35" t="s">
        <v>271</v>
      </c>
      <c r="D13" s="35" t="s">
        <v>272</v>
      </c>
      <c r="E13" s="35" t="s">
        <v>273</v>
      </c>
      <c r="F13" s="35" t="s">
        <v>103</v>
      </c>
      <c r="G13" s="35" t="s">
        <v>108</v>
      </c>
    </row>
    <row r="14" spans="1:9" ht="21.75" customHeight="1" x14ac:dyDescent="0.2">
      <c r="A14" s="36" t="s">
        <v>32</v>
      </c>
      <c r="B14" s="8">
        <f>SUMIF('Raw Data'!K3:K122,"Jan",'Raw Data'!M3:M122)</f>
        <v>412</v>
      </c>
      <c r="C14" s="8">
        <f>SUMIF('Raw Data'!K3:K122,"Jan",'Raw Data'!N3:N122)</f>
        <v>15</v>
      </c>
      <c r="D14" s="8">
        <f>SUMIF('Raw Data'!K3:K122,"Jan",'Raw Data'!O3:O122)</f>
        <v>33</v>
      </c>
      <c r="E14" s="8">
        <f>SUMIF('Raw Data'!K3:K122,"Jan",'Raw Data'!P3:P122)</f>
        <v>49</v>
      </c>
      <c r="F14" s="8">
        <v>460</v>
      </c>
      <c r="G14" s="7">
        <f>IFERROR(B14/F14,0)</f>
        <v>0.89565217391304353</v>
      </c>
    </row>
    <row r="15" spans="1:9" ht="21.75" customHeight="1" x14ac:dyDescent="0.2">
      <c r="A15" s="15" t="s">
        <v>36</v>
      </c>
      <c r="B15" s="13">
        <f>SUMIF('Raw Data'!K3:K122,"Feb",'Raw Data'!M3:M122)</f>
        <v>337</v>
      </c>
      <c r="C15" s="13">
        <f>SUMIF('Raw Data'!K3:K122,"Feb",'Raw Data'!N3:N122)</f>
        <v>23</v>
      </c>
      <c r="D15" s="13">
        <f>SUMIF('Raw Data'!K3:K122,"Feb",'Raw Data'!O3:O122)</f>
        <v>40</v>
      </c>
      <c r="E15" s="13">
        <f>SUMIF('Raw Data'!K3:K122,"Feb",'Raw Data'!P3:P122)</f>
        <v>42</v>
      </c>
      <c r="F15" s="13">
        <v>400</v>
      </c>
      <c r="G15" s="12">
        <f>IFERROR(B15/F15,0)</f>
        <v>0.84250000000000003</v>
      </c>
    </row>
    <row r="16" spans="1:9" ht="21.75" customHeight="1" x14ac:dyDescent="0.2">
      <c r="A16" s="36" t="s">
        <v>40</v>
      </c>
      <c r="B16" s="8">
        <f>SUMIF('Raw Data'!K3:K122,"Mar",'Raw Data'!M3:M122)</f>
        <v>351</v>
      </c>
      <c r="C16" s="8">
        <f>SUMIF('Raw Data'!K3:K122,"Mar",'Raw Data'!N3:N122)</f>
        <v>31</v>
      </c>
      <c r="D16" s="8">
        <f>SUMIF('Raw Data'!K3:K122,"Mar",'Raw Data'!O3:O122)</f>
        <v>38</v>
      </c>
      <c r="E16" s="8">
        <f>SUMIF('Raw Data'!K3:K122,"Mar",'Raw Data'!P3:P122)</f>
        <v>54</v>
      </c>
      <c r="F16" s="8">
        <v>420</v>
      </c>
      <c r="G16" s="7">
        <f>IFERROR(B16/F16,0)</f>
        <v>0.83571428571428574</v>
      </c>
    </row>
    <row r="17" spans="1:7" ht="21.75" customHeight="1" x14ac:dyDescent="0.2">
      <c r="A17" s="15" t="s">
        <v>44</v>
      </c>
      <c r="B17" s="13">
        <f>SUMIF('Raw Data'!K3:K122,"Apr",'Raw Data'!M3:M122)</f>
        <v>387</v>
      </c>
      <c r="C17" s="13">
        <f>SUMIF('Raw Data'!K3:K122,"Apr",'Raw Data'!N3:N122)</f>
        <v>21</v>
      </c>
      <c r="D17" s="13">
        <f>SUMIF('Raw Data'!K3:K122,"Apr",'Raw Data'!O3:O122)</f>
        <v>32</v>
      </c>
      <c r="E17" s="13">
        <f>SUMIF('Raw Data'!K3:K122,"Apr",'Raw Data'!P3:P122)</f>
        <v>46</v>
      </c>
      <c r="F17" s="13">
        <v>440</v>
      </c>
      <c r="G17" s="12">
        <f>IFERROR(B17/F17,0)</f>
        <v>0.87954545454545452</v>
      </c>
    </row>
    <row r="18" spans="1:7" ht="21.75" customHeight="1" x14ac:dyDescent="0.2">
      <c r="A18" s="36" t="s">
        <v>48</v>
      </c>
      <c r="B18" s="8">
        <f>SUMIF('Raw Data'!K3:K122,"May",'Raw Data'!M3:M122)</f>
        <v>363</v>
      </c>
      <c r="C18" s="8">
        <f>SUMIF('Raw Data'!K3:K122,"May",'Raw Data'!N3:N122)</f>
        <v>22</v>
      </c>
      <c r="D18" s="8">
        <f>SUMIF('Raw Data'!K3:K122,"May",'Raw Data'!O3:O122)</f>
        <v>35</v>
      </c>
      <c r="E18" s="8">
        <f>SUMIF('Raw Data'!K3:K122,"May",'Raw Data'!P3:P122)</f>
        <v>58</v>
      </c>
      <c r="F18" s="8">
        <v>420</v>
      </c>
      <c r="G18" s="7">
        <f>IFERROR(B18/F18,0)</f>
        <v>0.86428571428571432</v>
      </c>
    </row>
    <row r="19" spans="1:7" ht="21.75" customHeight="1" x14ac:dyDescent="0.2">
      <c r="A19" s="15" t="s">
        <v>50</v>
      </c>
      <c r="B19" s="13">
        <f>SUMIF('Raw Data'!K3:K122,"Jun",'Raw Data'!M3:M122)</f>
        <v>339</v>
      </c>
      <c r="C19" s="13">
        <f>SUMIF('Raw Data'!K3:K122,"Jun",'Raw Data'!N3:N122)</f>
        <v>21</v>
      </c>
      <c r="D19" s="13">
        <f>SUMIF('Raw Data'!K3:K122,"Jun",'Raw Data'!O3:O122)</f>
        <v>40</v>
      </c>
      <c r="E19" s="13">
        <f>SUMIF('Raw Data'!K3:K122,"Jun",'Raw Data'!P3:P122)</f>
        <v>58</v>
      </c>
      <c r="F19" s="13">
        <v>400</v>
      </c>
      <c r="G19" s="12">
        <f>IFERROR(B19/F19,0)</f>
        <v>0.84750000000000003</v>
      </c>
    </row>
  </sheetData>
  <mergeCells count="3">
    <mergeCell ref="A1:I1"/>
    <mergeCell ref="A3:I3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95C"/>
  </sheetPr>
  <dimension ref="A1:P9"/>
  <sheetViews>
    <sheetView zoomScaleNormal="100" workbookViewId="0"/>
  </sheetViews>
  <sheetFormatPr defaultColWidth="8.7421875" defaultRowHeight="15" x14ac:dyDescent="0.2"/>
  <cols>
    <col min="1" max="1" width="16.0078125" style="1" customWidth="1"/>
    <col min="2" max="2" width="14.9296875" style="1" customWidth="1"/>
    <col min="3" max="3" width="16.0078125" style="1" customWidth="1"/>
    <col min="4" max="4" width="13.046875" style="1" customWidth="1"/>
    <col min="5" max="5" width="6.05078125" style="1" customWidth="1"/>
    <col min="6" max="6" width="9.953125" style="1" customWidth="1"/>
    <col min="7" max="8" width="16.0078125" style="1" customWidth="1"/>
    <col min="9" max="9" width="13.046875" style="1" customWidth="1"/>
    <col min="10" max="10" width="11.97265625" style="1" customWidth="1"/>
    <col min="11" max="11" width="6.05078125" style="1" customWidth="1"/>
    <col min="12" max="12" width="20.04296875" style="1" customWidth="1"/>
    <col min="13" max="13" width="9.953125" style="1" customWidth="1"/>
    <col min="14" max="14" width="6.05078125" style="1" customWidth="1"/>
    <col min="15" max="15" width="16.0078125" style="1" customWidth="1"/>
    <col min="16" max="16" width="9.953125" style="1" customWidth="1"/>
  </cols>
  <sheetData>
    <row r="1" spans="1:16" ht="31.5" customHeight="1" x14ac:dyDescent="0.2">
      <c r="A1" s="104" t="s">
        <v>277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3" spans="1:16" ht="15" customHeight="1" x14ac:dyDescent="0.2">
      <c r="A3" s="18" t="s">
        <v>17</v>
      </c>
      <c r="B3" s="18" t="s">
        <v>255</v>
      </c>
      <c r="C3" s="18" t="s">
        <v>254</v>
      </c>
      <c r="D3" s="18" t="s">
        <v>259</v>
      </c>
      <c r="F3" s="25" t="s">
        <v>23</v>
      </c>
      <c r="G3" s="25" t="s">
        <v>255</v>
      </c>
      <c r="H3" s="25" t="s">
        <v>254</v>
      </c>
      <c r="I3" s="25" t="s">
        <v>265</v>
      </c>
      <c r="J3" s="25" t="s">
        <v>257</v>
      </c>
      <c r="L3" s="30" t="s">
        <v>27</v>
      </c>
      <c r="M3" s="30" t="s">
        <v>28</v>
      </c>
      <c r="O3" s="37" t="s">
        <v>278</v>
      </c>
      <c r="P3" s="37" t="s">
        <v>28</v>
      </c>
    </row>
    <row r="4" spans="1:16" ht="15" customHeight="1" x14ac:dyDescent="0.2">
      <c r="A4" s="38" t="s">
        <v>125</v>
      </c>
      <c r="B4" s="39">
        <f>IFERROR(AVERAGEIF('Raw Data'!C3:C122,"Technology",'Raw Data'!Z3:Z122),0)</f>
        <v>7.8111111111111127</v>
      </c>
      <c r="C4" s="40">
        <f>IFERROR(AVERAGEIF('Raw Data'!C3:C122,"Technology",'Raw Data'!Q3:Q122),0)</f>
        <v>0.8550416666666667</v>
      </c>
      <c r="D4" s="38">
        <f>COUNTIFS('Raw Data'!C3:C122,"Technology",'Raw Data'!Z3:Z122,"&gt;="&amp;8.5)</f>
        <v>4</v>
      </c>
      <c r="F4" s="38" t="s">
        <v>32</v>
      </c>
      <c r="G4" s="39">
        <f>IFERROR(AVERAGEIF('Raw Data'!K3:K122,"Jan",'Raw Data'!Z3:Z122),0)</f>
        <v>7.9049999999999994</v>
      </c>
      <c r="H4" s="40">
        <f>IFERROR(AVERAGEIF('Raw Data'!K3:K122,"Jan",'Raw Data'!Q3:Q122),0)</f>
        <v>0.89565000000000006</v>
      </c>
      <c r="I4" s="38">
        <f>SUMIF('Raw Data'!K3:K122,"Jan",'Raw Data'!U3:U122)</f>
        <v>417</v>
      </c>
      <c r="J4" s="38">
        <f>SUMIF('Raw Data'!K3:K122,"Jan",'Raw Data'!T3:T122)</f>
        <v>470</v>
      </c>
      <c r="L4" s="38" t="s">
        <v>134</v>
      </c>
      <c r="M4" s="38">
        <f>COUNTIF('Raw Data'!AD3:AD122,"OK")</f>
        <v>65</v>
      </c>
      <c r="O4" s="38" t="s">
        <v>279</v>
      </c>
      <c r="P4" s="38">
        <f>COUNTIF('Raw Data'!AC3:AC122,"Yes")</f>
        <v>47</v>
      </c>
    </row>
    <row r="5" spans="1:16" ht="15" customHeight="1" x14ac:dyDescent="0.2">
      <c r="A5" s="38" t="s">
        <v>148</v>
      </c>
      <c r="B5" s="39">
        <f>IFERROR(AVERAGEIF('Raw Data'!C3:C122,"HR",'Raw Data'!Z3:Z122),0)</f>
        <v>7.333333333333333</v>
      </c>
      <c r="C5" s="40">
        <f>IFERROR(AVERAGEIF('Raw Data'!C3:C122,"HR",'Raw Data'!Q3:Q122),0)</f>
        <v>0.871</v>
      </c>
      <c r="D5" s="38">
        <f>COUNTIFS('Raw Data'!C3:C122,"HR",'Raw Data'!Z3:Z122,"&gt;="&amp;8.5)</f>
        <v>1</v>
      </c>
      <c r="F5" s="38" t="s">
        <v>36</v>
      </c>
      <c r="G5" s="39">
        <f>IFERROR(AVERAGEIF('Raw Data'!K3:K122,"Feb",'Raw Data'!Z3:Z122),0)</f>
        <v>7.67</v>
      </c>
      <c r="H5" s="40">
        <f>IFERROR(AVERAGEIF('Raw Data'!K3:K122,"Feb",'Raw Data'!Q3:Q122),0)</f>
        <v>0.84250000000000003</v>
      </c>
      <c r="I5" s="38">
        <f>SUMIF('Raw Data'!K3:K122,"Feb",'Raw Data'!U3:U122)</f>
        <v>437</v>
      </c>
      <c r="J5" s="38">
        <f>SUMIF('Raw Data'!K3:K122,"Feb",'Raw Data'!T3:T122)</f>
        <v>498</v>
      </c>
      <c r="L5" s="38" t="s">
        <v>137</v>
      </c>
      <c r="M5" s="38">
        <f>COUNTIF('Raw Data'!AD3:AD122,"Attendance Risk")</f>
        <v>51</v>
      </c>
      <c r="O5" s="38" t="s">
        <v>280</v>
      </c>
      <c r="P5" s="38">
        <f>COUNTIF('Raw Data'!AC3:AC122,"No")</f>
        <v>73</v>
      </c>
    </row>
    <row r="6" spans="1:16" ht="15" customHeight="1" x14ac:dyDescent="0.2">
      <c r="A6" s="38" t="s">
        <v>157</v>
      </c>
      <c r="B6" s="39">
        <f>IFERROR(AVERAGEIF('Raw Data'!C3:C122,"Finance",'Raw Data'!Z3:Z122),0)</f>
        <v>7.8222222222222229</v>
      </c>
      <c r="C6" s="40">
        <f>IFERROR(AVERAGEIF('Raw Data'!C3:C122,"Finance",'Raw Data'!Q3:Q122),0)</f>
        <v>0.86638888888888888</v>
      </c>
      <c r="D6" s="38">
        <f>COUNTIFS('Raw Data'!C3:C122,"Finance",'Raw Data'!Z3:Z122,"&gt;="&amp;8.5)</f>
        <v>2</v>
      </c>
      <c r="F6" s="38" t="s">
        <v>40</v>
      </c>
      <c r="G6" s="39">
        <f>IFERROR(AVERAGEIF('Raw Data'!K3:K122,"Mar",'Raw Data'!Z3:Z122),0)</f>
        <v>7.6349999999999998</v>
      </c>
      <c r="H6" s="40">
        <f>IFERROR(AVERAGEIF('Raw Data'!K3:K122,"Mar",'Raw Data'!Q3:Q122),0)</f>
        <v>0.83570500000000014</v>
      </c>
      <c r="I6" s="38">
        <f>SUMIF('Raw Data'!K3:K122,"Mar",'Raw Data'!U3:U122)</f>
        <v>495</v>
      </c>
      <c r="J6" s="38">
        <f>SUMIF('Raw Data'!K3:K122,"Mar",'Raw Data'!T3:T122)</f>
        <v>549</v>
      </c>
      <c r="L6" s="38" t="s">
        <v>204</v>
      </c>
      <c r="M6" s="38">
        <f>COUNTIF('Raw Data'!AD3:AD122,"High Risk")</f>
        <v>4</v>
      </c>
    </row>
    <row r="7" spans="1:16" ht="15" customHeight="1" x14ac:dyDescent="0.2">
      <c r="A7" s="38" t="s">
        <v>163</v>
      </c>
      <c r="B7" s="39">
        <f>IFERROR(AVERAGEIF('Raw Data'!C3:C122,"Sales",'Raw Data'!Z3:Z122),0)</f>
        <v>7.7555555555555538</v>
      </c>
      <c r="C7" s="40">
        <f>IFERROR(AVERAGEIF('Raw Data'!C3:C122,"Sales",'Raw Data'!Q3:Q122),0)</f>
        <v>0.86257777777777789</v>
      </c>
      <c r="D7" s="38">
        <f>COUNTIFS('Raw Data'!C3:C122,"Sales",'Raw Data'!Z3:Z122,"&gt;="&amp;8.5)</f>
        <v>1</v>
      </c>
      <c r="F7" s="38" t="s">
        <v>44</v>
      </c>
      <c r="G7" s="39">
        <f>IFERROR(AVERAGEIF('Raw Data'!K3:K122,"Apr",'Raw Data'!Z3:Z122),0)</f>
        <v>7.669999999999999</v>
      </c>
      <c r="H7" s="40">
        <f>IFERROR(AVERAGEIF('Raw Data'!K3:K122,"Apr",'Raw Data'!Q3:Q122),0)</f>
        <v>0.87953500000000007</v>
      </c>
      <c r="I7" s="38">
        <f>SUMIF('Raw Data'!K3:K122,"Apr",'Raw Data'!U3:U122)</f>
        <v>454</v>
      </c>
      <c r="J7" s="38">
        <f>SUMIF('Raw Data'!K3:K122,"Apr",'Raw Data'!T3:T122)</f>
        <v>493</v>
      </c>
      <c r="L7" s="38" t="s">
        <v>281</v>
      </c>
      <c r="M7" s="38">
        <f>COUNTIF('Raw Data'!AD3:AD122,"Performance Risk")</f>
        <v>0</v>
      </c>
    </row>
    <row r="8" spans="1:16" ht="15" customHeight="1" x14ac:dyDescent="0.2">
      <c r="A8" s="38" t="s">
        <v>171</v>
      </c>
      <c r="B8" s="39">
        <f>IFERROR(AVERAGEIF('Raw Data'!C3:C122,"Operations",'Raw Data'!Z3:Z122),0)</f>
        <v>8.0944444444444432</v>
      </c>
      <c r="C8" s="40">
        <f>IFERROR(AVERAGEIF('Raw Data'!C3:C122,"Operations",'Raw Data'!Q3:Q122),0)</f>
        <v>0.85255555555555551</v>
      </c>
      <c r="D8" s="38">
        <f>COUNTIFS('Raw Data'!C3:C122,"Operations",'Raw Data'!Z3:Z122,"&gt;="&amp;8.5)</f>
        <v>5</v>
      </c>
      <c r="F8" s="38" t="s">
        <v>48</v>
      </c>
      <c r="G8" s="39">
        <f>IFERROR(AVERAGEIF('Raw Data'!K3:K122,"May",'Raw Data'!Z3:Z122),0)</f>
        <v>7.7999999999999989</v>
      </c>
      <c r="H8" s="40">
        <f>IFERROR(AVERAGEIF('Raw Data'!K3:K122,"May",'Raw Data'!Q3:Q122),0)</f>
        <v>0.86428500000000008</v>
      </c>
      <c r="I8" s="38">
        <f>SUMIF('Raw Data'!K3:K122,"May",'Raw Data'!U3:U122)</f>
        <v>450</v>
      </c>
      <c r="J8" s="38">
        <f>SUMIF('Raw Data'!K3:K122,"May",'Raw Data'!T3:T122)</f>
        <v>507</v>
      </c>
    </row>
    <row r="9" spans="1:16" ht="15" customHeight="1" x14ac:dyDescent="0.2">
      <c r="A9" s="38" t="s">
        <v>182</v>
      </c>
      <c r="B9" s="39">
        <f>IFERROR(AVERAGEIF('Raw Data'!C3:C122,"Marketing",'Raw Data'!Z3:Z122),0)</f>
        <v>7.7666666666666657</v>
      </c>
      <c r="C9" s="40">
        <f>IFERROR(AVERAGEIF('Raw Data'!C3:C122,"Marketing",'Raw Data'!Q3:Q122),0)</f>
        <v>0.8647166666666668</v>
      </c>
      <c r="D9" s="38">
        <f>COUNTIFS('Raw Data'!C3:C122,"Marketing",'Raw Data'!Z3:Z122,"&gt;="&amp;8.5)</f>
        <v>2</v>
      </c>
      <c r="F9" s="38" t="s">
        <v>50</v>
      </c>
      <c r="G9" s="39">
        <f>IFERROR(AVERAGEIF('Raw Data'!K3:K122,"Jun",'Raw Data'!Z3:Z122),0)</f>
        <v>7.9449999999999985</v>
      </c>
      <c r="H9" s="40">
        <f>IFERROR(AVERAGEIF('Raw Data'!K3:K122,"Jun",'Raw Data'!Q3:Q122),0)</f>
        <v>0.84750000000000014</v>
      </c>
      <c r="I9" s="38">
        <f>SUMIF('Raw Data'!K3:K122,"Jun",'Raw Data'!U3:U122)</f>
        <v>465</v>
      </c>
      <c r="J9" s="38">
        <f>SUMIF('Raw Data'!K3:K122,"Jun",'Raw Data'!T3:T122)</f>
        <v>534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KPI Summary</vt:lpstr>
      <vt:lpstr>Performance Analysis</vt:lpstr>
      <vt:lpstr>Attendance Analysis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3</cp:revision>
  <dcterms:created xsi:type="dcterms:W3CDTF">2026-04-13T08:01:16Z</dcterms:created>
  <dcterms:modified xsi:type="dcterms:W3CDTF">2026-04-13T08:02:07Z</dcterms:modified>
  <dc:language>en-US</dc:language>
</cp:coreProperties>
</file>